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IÇÃO" sheetId="1" r:id="rId5"/>
    <sheet state="visible" name="PROJETOS" sheetId="2" r:id="rId6"/>
    <sheet state="visible" name="ENTREVISTAS" sheetId="3" r:id="rId7"/>
    <sheet state="visible" name="PROVA DE LINGUA" sheetId="4" r:id="rId8"/>
    <sheet state="visible" name="CLASSIFICAÇÃO FINAL" sheetId="5" r:id="rId9"/>
    <sheet state="visible" name="DISTRIBUIÇÃO DE VAGAS" sheetId="6" r:id="rId10"/>
  </sheets>
  <definedNames/>
  <calcPr/>
</workbook>
</file>

<file path=xl/sharedStrings.xml><?xml version="1.0" encoding="utf-8"?>
<sst xmlns="http://schemas.openxmlformats.org/spreadsheetml/2006/main" count="533" uniqueCount="167">
  <si>
    <t>Coluna 1</t>
  </si>
  <si>
    <t>Nº DO CANDIDATO</t>
  </si>
  <si>
    <t>TÍTULO DO ANTEPROJETO</t>
  </si>
  <si>
    <t>Avaliador 1</t>
  </si>
  <si>
    <t>Avaliador 2</t>
  </si>
  <si>
    <t>Banca</t>
  </si>
  <si>
    <t>Educação Inclusiva no Sertão Baiano: práticas de alfabetização de crianças negras com Transtorno do Espectro Autista e/ou Transtorno</t>
  </si>
  <si>
    <t>DANILO UZÊDA</t>
  </si>
  <si>
    <t>DIEGO VIDAL</t>
  </si>
  <si>
    <t>As Políticas Públicas de Gênero e o Empoderamento Feminino no Território Baiano: desafios e perspectivas para equidade social, com foco no Município de Feira de Santana</t>
  </si>
  <si>
    <t>Território e Vozes Locais: A Influência da Participação Social na Construção de Políticas Públicas Municipais</t>
  </si>
  <si>
    <t>POLÍTICAS PÚBLICAS E MULHERES ASSOCIADAS: UM ESTUDO DE CASO DA ASSOCIAÇÃO COMUNITÁRIA DE MARIA QUITÉRIA- DISTRITO DE MARIA QUITÉRIA, FEIRA DE SANTANA – BAHIA</t>
  </si>
  <si>
    <t>Movimentos Sociais e Políticas Públicas: Desdobramentos para o Desenvolvimento Local.</t>
  </si>
  <si>
    <t>Tradições agrícolas e saberes rurais: um estudo sobre as práticas de cultivo na zona rural de Feira de Santana-Ba</t>
  </si>
  <si>
    <t>IMPACTOS DA LEI GERAL DO LICENCIAMENTO AMBIENTAL (LEI No 15.190/2025) NA GESTÃO TERRITORIAL DE CIDADES MÉDIAS: UMA ANÁLISE  TÉCNICO-JURÍDICA EM FEIRA DE SANTANA (BA)</t>
  </si>
  <si>
    <t>Cacauicultura no município de Jiquriçá-BA e o acesso a políticas públicas de fortalecimento da agricultura familiar no contexto do seu Território de Identidade.</t>
  </si>
  <si>
    <t>“CRIANÇAS EM SITUAÇÃO DE RUA” E O ECA: UMA ANÁLISE DAS POLÍTICAS PÚBLICAS NA GESTÃO MUNICIPAL DE FEIRA DE SANTANA.</t>
  </si>
  <si>
    <t>POLÍTICAS PÚBLICAS HABITACIONAIS E A PARTICIAPAÇÃO SOCIAL NO PROCESSO DE EXPANSÃO URBANA DE SERRINHA-BA: um olhar sobre a efetividade do programa Minha Casa Minha Vida</t>
  </si>
  <si>
    <t>A educação feminina no sistema prisional de Feira de Santana: políticas públicas e perspectivas de reinserção social</t>
  </si>
  <si>
    <t>Governança Fiscal-Territorial: a Inteligência de Dados como Instrumento de Planejamento e Controle Social no Município de São Sebastião do Passé - BA.</t>
  </si>
  <si>
    <t>Território, territorialidade e acesso às políticas públicas na representação sindical: descompassos entre o espaço normativo e o espaço vivido como obstáculo à eficácia sindical</t>
  </si>
  <si>
    <t>A TERRITORIALIZAÇÃO DA PROTEÇÃO SOCIAL BÁSICA EM FEIRA DE SANTANA-BAHIA: UMA PROPOSTA INTEGRADA COM SISTEMAS DE
INFORMAÇÕES DE GEOGRÁFICAS E PARTICIPAÇÃO SOCIAL.</t>
  </si>
  <si>
    <t>PLANEJAMENTO TERRITORIAL E CULTURA: O MERCADO DE ARTE POPULAR DE FEIRA DE SANTANA COMO ESPAÇO DE DESENVOLVIMENTO LOCAL (2014-2024)</t>
  </si>
  <si>
    <t>Do normativo à prática: intervenção para implementação do Marco Regulatório das Organizações da Sociedade Civil (MROSC) na Universidade Estadual de Feira de Santana.</t>
  </si>
  <si>
    <t>A INFLUÊNCIA DA POLÍTICA DE ATER NO DESENVOLVIMENTO COMUNITÁRIO</t>
  </si>
  <si>
    <t>PLANEJAMENTO TERRITORIAL E EFETIVAÇÃO DAS POLÍTICAS PÚBLICAS PARA PESSOAS AUTISTAS EM FEIRA DE SANTANA: ANÁLISE DA
INTERSETORIALIDADE, PARTICIPAÇÃO SOCIAL E DESIGUALDADES DE ACESSO.</t>
  </si>
  <si>
    <t>RELAÇÕES ENTRE O TRABALHO E A EDUCAÇÃO NAS ATIVIDADES COLETIVAS DAS CASAS DE FARINHAS DO ALTO SANTO ANTÔNIO, EM
ALAGOINHAS, BA</t>
  </si>
  <si>
    <t>Candeeiros da Caatinga: uma proposta de educação ambiental contextualizada no semiárido baiano.</t>
  </si>
  <si>
    <t>Programa Nacional de Alimentação Escolar (PNAE): Avaliação da contribuição no fortalecimento da agricultura familiar em Inhambupe-BA.</t>
  </si>
  <si>
    <t xml:space="preserve">Política de melhorias habitacionais como fator de pertencimento a sociedade
</t>
  </si>
  <si>
    <t>O PROTAGONISMO DA MULHER NO COOPERATIVISMO RURAL BAIANO: CONTRIBUIÇÃO DA EDUCAÇÃO NÃO FORMAL COMO INSTRUMENTO DE
RESISTÊNCIA E TRANSFORMAÇÃO TERRITORIAL</t>
  </si>
  <si>
    <t>LGPD (LEI GERAL DE PROTEÇÃO DE DADOS) E SEUS IMPACTOS NA PROTEÇÃO DE DADOS PESSOAIS.</t>
  </si>
  <si>
    <t>Territorialização de Políticas Públicas de Agroecologia e Economia Solidária: participação social no Território do Sisal</t>
  </si>
  <si>
    <t>anteprojeto: INFORMALIDADE E SOCIEDADE: UM ESTUDO SOBRE A PARTICIPAÇÃO DO TRABALHADOR INFORMAL NA ECONOMIA FEIRENSE.</t>
  </si>
  <si>
    <t>Políticas Culturais e Planejamento Territorial: Modelos de Implementação da PNAB em Municípios do Portal do Sertão</t>
  </si>
  <si>
    <t>Participação para a avaliação e monitoramento da Assistência Técnica e Extensão Rural através do Consórcio Público de Desenvolvimento Sustentável do Território do Litoral Norte e Agreste Baiano</t>
  </si>
  <si>
    <t>Proposta de um programa de capacitação em intervenção pedagógica de estudantes com Transtorno de Déficit de Atenção e Hiperatividade (TDAH), para professores da educação básica das escolas de Feira de Santana – Bahia.</t>
  </si>
  <si>
    <t>A VISÃO DA GEOGRAFIA SOBRE O USO DAS ÁREAS DE PROTEÇÃO AMBIENTAL (APAs) E A REGULARIZAÇÃO FUNDIÁRIA DA BACIA DO RIO DE JANEIRO, OESTE DA BAHIA: CONFLITOS, PRESERVAÇÃO E ORGANIZAÇÃO DO TERRITÓRIO.</t>
  </si>
  <si>
    <t>Gestão de pessoas e fortalecimento das associações de agricultores familiares: um olhar sobre a economia solidária em Pé de Serra – BA</t>
  </si>
  <si>
    <t>ACESSIBILIDADE URBANA: UMA ABORDAGEM ESPACIAL NO CENTRO DA CIDADE DE VALENÇA/BA (2015 – 2025).</t>
  </si>
  <si>
    <t>O PAPEL DA ASSOCIAÇÃO QUILOMBOLA COMUNITÁRIA DE MARIA QUITÉRIA (AQCOMAQ) NO FORTALECIMENTO DO PERTENCIMENTO E DA IDENTIDADE TERRITORIAL DA COMUNIDADE LAGOA GRANDE</t>
  </si>
  <si>
    <t>A Governança da Água no Semiárido Baiano: Uma Análise do Programa Cisternas a partir da Atuação da Cáritas Diocesana de Ruy Barbosa</t>
  </si>
  <si>
    <t>NOTAS</t>
  </si>
  <si>
    <t>AVALIADOR 1</t>
  </si>
  <si>
    <t>AVALIADOR 2</t>
  </si>
  <si>
    <t>BANCA</t>
  </si>
  <si>
    <t>POSSÍVEL ORIENTADOR?</t>
  </si>
  <si>
    <t>ENTREVISTA?</t>
  </si>
  <si>
    <t>ASPECTO 1</t>
  </si>
  <si>
    <t>ASPECTO 2</t>
  </si>
  <si>
    <t>ASPECTO 3</t>
  </si>
  <si>
    <t>ASPECTO 4</t>
  </si>
  <si>
    <t>ASPECTO 5</t>
  </si>
  <si>
    <t>ASPECTO 6</t>
  </si>
  <si>
    <t>ASPECTO 7</t>
  </si>
  <si>
    <t>ASPECTO 8</t>
  </si>
  <si>
    <t>TOTAL</t>
  </si>
  <si>
    <t>NÃO</t>
  </si>
  <si>
    <t>SIM</t>
  </si>
  <si>
    <t>POLÍTICAS PÚBLICAS HABITACIONAIS E A PARTICIPAÇÃO SOCIAL NO PROCESSO DE EXPANSÃO URBANA DE SERRINHA-BA: um olhar sobre a efetividade do programa Minha Casa Minha Vida</t>
  </si>
  <si>
    <t>SELEÇÃO PARA ALUNO(A) REGULAR 2025 - RESULTADO DAS ENTREVISTAS - LINHA 2</t>
  </si>
  <si>
    <t>Avaliador 1 (Alessandra)</t>
  </si>
  <si>
    <t>Avaliador 2 (Diego)</t>
  </si>
  <si>
    <t>Avaliador 1 (Danilo)</t>
  </si>
  <si>
    <t>NOME DO/A CANDIDATO/A</t>
  </si>
  <si>
    <t>HORÁRIO</t>
  </si>
  <si>
    <t>3 Pontos</t>
  </si>
  <si>
    <t>2 Pontos</t>
  </si>
  <si>
    <t>Apresentação do(a) candidato(a)</t>
  </si>
  <si>
    <t>Histórico Profissional</t>
  </si>
  <si>
    <t>Defesa da proposta de estudo</t>
  </si>
  <si>
    <t>Justificativa do interesse pelo curso e disponibilidade para cursar a pós-graduação</t>
  </si>
  <si>
    <t>ADRIANA GUIMARÃES BARRETO</t>
  </si>
  <si>
    <t>08:00 a 08:20</t>
  </si>
  <si>
    <t>ANA MARIA DE SOUZA BATISTA</t>
  </si>
  <si>
    <t>08:20 a 08:40</t>
  </si>
  <si>
    <t>CAMILA MENEZES SOUZA</t>
  </si>
  <si>
    <t>10:20 A 10:40</t>
  </si>
  <si>
    <t>CAMYLLA ELLEF MARTINS ALVES</t>
  </si>
  <si>
    <t>08:50 a 09:10</t>
  </si>
  <si>
    <t>EDILEUZA SOUZA FERNANDES</t>
  </si>
  <si>
    <t>09:20 a 09:40</t>
  </si>
  <si>
    <t>ENILMA ARAÚJO FERREIRA</t>
  </si>
  <si>
    <t>09:40 a 10:00</t>
  </si>
  <si>
    <t>FERNANDA GONÇALVES DE BRITO</t>
  </si>
  <si>
    <t>10:00 a 10:20</t>
  </si>
  <si>
    <t>FERNANDA MARQUES DANTAS</t>
  </si>
  <si>
    <t>10:20 a 10:40</t>
  </si>
  <si>
    <t>FERNANDA PEDREIRA FIGUEREDO</t>
  </si>
  <si>
    <t>10:40 a 11:00</t>
  </si>
  <si>
    <t>FELIPE MOREIRA SILVA</t>
  </si>
  <si>
    <t>11:00 a 11:20</t>
  </si>
  <si>
    <t>-</t>
  </si>
  <si>
    <t>GILDEMAR RIBEIRO LIMA JUNIOR</t>
  </si>
  <si>
    <t>11:20 a 11:40</t>
  </si>
  <si>
    <t>HÁLIX JOAN ALMEIDA LIMA</t>
  </si>
  <si>
    <t>11:40 a 12:00</t>
  </si>
  <si>
    <t>IANN SILVA DIAS</t>
  </si>
  <si>
    <t>14:00 a 14:20</t>
  </si>
  <si>
    <t>INEZ AZEVEDO CARVALHO</t>
  </si>
  <si>
    <t>14:20 a 14:40</t>
  </si>
  <si>
    <t>LUIS ORLANDO SOUZA LIMA</t>
  </si>
  <si>
    <t>14:40 a 15:00</t>
  </si>
  <si>
    <t>MARILUCE SANTOS DA SILVA</t>
  </si>
  <si>
    <t>15:00 a 15:20</t>
  </si>
  <si>
    <t xml:space="preserve">MARRÔSE SOUSA DA SILVA </t>
  </si>
  <si>
    <t>15:20 a 15:40</t>
  </si>
  <si>
    <t>MATHEUS GOMES PEREIRA</t>
  </si>
  <si>
    <t>15:40 a 16:00</t>
  </si>
  <si>
    <t>MICKAELLY ESPÍRITO SANTO SANTOS</t>
  </si>
  <si>
    <t>16:00 a 16:20</t>
  </si>
  <si>
    <t>MILENA CARNEIRO MACEDO</t>
  </si>
  <si>
    <t>16:20 a 16:40</t>
  </si>
  <si>
    <t>MIROSMAR SILVA SANTOS</t>
  </si>
  <si>
    <t>16:40 a 17:00</t>
  </si>
  <si>
    <t>RAIMUNDO JOSÉ FERREIRA DE JESUS</t>
  </si>
  <si>
    <t>17:00 a 17:20</t>
  </si>
  <si>
    <t>RICARDO OLIVEIRA DE MENEZES</t>
  </si>
  <si>
    <t>17:20 a 17:40</t>
  </si>
  <si>
    <t>SINTIA SOUZA FERNANDES SILVA</t>
  </si>
  <si>
    <t>17:40 a 18:00</t>
  </si>
  <si>
    <t>FABIANA CALHEIRA MENEZES RIOS</t>
  </si>
  <si>
    <t>08:00 A 08:20</t>
  </si>
  <si>
    <t>JADIEL FERREIRA ROSEIRA</t>
  </si>
  <si>
    <t>08:20 A 08:40</t>
  </si>
  <si>
    <t>LEONARDO PEDREIRA  DE OLIVEIRA</t>
  </si>
  <si>
    <t>08:40 A 09:00</t>
  </si>
  <si>
    <t>MARIA CECÍLIA MOREIRA DOS REIS</t>
  </si>
  <si>
    <t>09:00 A 09:20</t>
  </si>
  <si>
    <t>RAFAEL CARLOMAGNO SILVA NOVAIS</t>
  </si>
  <si>
    <t>09:20 A 09:40</t>
  </si>
  <si>
    <t>ITIARA CHAVES DE OLIVEIRA RIBEIRO</t>
  </si>
  <si>
    <t>09:40 A 10:00</t>
  </si>
  <si>
    <t>TAINARA DA SILVA SANTOS</t>
  </si>
  <si>
    <t>10:00 A 10:20</t>
  </si>
  <si>
    <t>ERISVALDO MAURÍCIO DOS SANTOS</t>
  </si>
  <si>
    <t>SELEÇÃO PARA ALUNO(A) REGULAR 2025 - RESULTADO DA PROVA DE LINGUA ESTRANGEIRA- LINHA 1</t>
  </si>
  <si>
    <t>Clareza e Coesão</t>
  </si>
  <si>
    <t>Domínio do Conteúdo</t>
  </si>
  <si>
    <t>Análise Crítica</t>
  </si>
  <si>
    <t>PROJETO</t>
  </si>
  <si>
    <t>ENTREVISTA</t>
  </si>
  <si>
    <t>PROVA DE LÍNGUA</t>
  </si>
  <si>
    <t>VAGAS RESERVADAS</t>
  </si>
  <si>
    <t>NOTA</t>
  </si>
  <si>
    <t>PESO 4</t>
  </si>
  <si>
    <t>PESO 5</t>
  </si>
  <si>
    <t xml:space="preserve">NOTA </t>
  </si>
  <si>
    <t>PESO 1</t>
  </si>
  <si>
    <t>Classificação</t>
  </si>
  <si>
    <t>Nome do(a) Candidato(a)</t>
  </si>
  <si>
    <t>Nota Final</t>
  </si>
  <si>
    <t>Grupo de Concorrência</t>
  </si>
  <si>
    <t>Situação Final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</si>
  <si>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</si>
  <si>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</si>
  <si>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</si>
  <si>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</si>
  <si>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</si>
  <si>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</si>
  <si>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</si>
  <si>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</si>
  <si>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</si>
  <si>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12º</t>
  </si>
  <si>
    <t>13º</t>
  </si>
  <si>
    <t>14º</t>
  </si>
  <si>
    <t>15º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</si>
</sst>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h:mm"/>
  </numFmts>
  <fonts count="32">
    <font>
      <sz val="10.0"/>
      <color rgb="FF000000"/>
      <name val="Arial"/>
      <scheme val="minor"/>
    </font>
    <font>
      <b/>
      <sz val="9.0"/>
      <color theme="1"/>
      <name val="Calibri"/>
    </font>
    <font>
      <b/>
      <color theme="1"/>
      <name val="Calibri"/>
    </font>
    <font>
      <b/>
      <sz val="9.0"/>
      <color rgb="FF000000"/>
      <name val="Calibri"/>
    </font>
    <font>
      <color theme="1"/>
      <name val="Calibri"/>
    </font>
    <font>
      <sz val="9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/>
    <font>
      <b/>
      <sz val="11.0"/>
      <color rgb="FF000000"/>
      <name val="Calibri"/>
    </font>
    <font>
      <color rgb="FF000000"/>
      <name val="Arial"/>
    </font>
    <font>
      <color rgb="FF000000"/>
      <name val="Calibri"/>
    </font>
    <font>
      <color rgb="FFFF0000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6.0"/>
      <color rgb="FF000000"/>
      <name val="&quot;Aptos Narrow&quot;"/>
    </font>
    <font>
      <color theme="1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Arial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ptos Narrow"/>
    </font>
    <font>
      <b/>
      <sz val="11.0"/>
      <color rgb="FF000000"/>
      <name val="&quot;Aptos Narrow&quot;"/>
    </font>
    <font>
      <b/>
      <sz val="11.0"/>
      <color theme="1"/>
      <name val="Aptos Narrow"/>
    </font>
    <font>
      <b/>
      <color theme="1"/>
      <name val="Arial"/>
      <scheme val="minor"/>
    </font>
    <font>
      <sz val="11.0"/>
      <color rgb="FF000000"/>
      <name val="Arial"/>
      <scheme val="minor"/>
    </font>
    <font>
      <sz val="11.0"/>
      <color rgb="FF000000"/>
      <name val="Arial"/>
    </font>
    <font>
      <color theme="1"/>
      <name val="Arial"/>
    </font>
    <font>
      <sz val="11.0"/>
      <color theme="1"/>
      <name val="Arial"/>
      <scheme val="minor"/>
    </font>
    <font>
      <color rgb="FF000000"/>
      <name val="Arial"/>
      <scheme val="minor"/>
    </font>
    <font>
      <b/>
      <sz val="16.0"/>
      <color rgb="FF000000"/>
      <name val="Arial"/>
    </font>
    <font>
      <b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A6A6A6"/>
        <bgColor rgb="FFA6A6A6"/>
      </patternFill>
    </fill>
    <fill>
      <patternFill patternType="solid">
        <fgColor rgb="FFB8D3EF"/>
        <bgColor rgb="FFB8D3EF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CE8B2"/>
        <bgColor rgb="FFFCE8B2"/>
      </patternFill>
    </fill>
    <fill>
      <patternFill patternType="solid">
        <fgColor rgb="FF4285F4"/>
        <bgColor rgb="FF4285F4"/>
      </patternFill>
    </fill>
    <fill>
      <patternFill patternType="solid">
        <fgColor theme="7"/>
        <bgColor theme="7"/>
      </patternFill>
    </fill>
  </fills>
  <borders count="1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shrinkToFit="0" wrapText="1"/>
    </xf>
    <xf borderId="2" fillId="0" fontId="5" numFmtId="0" xfId="0" applyAlignment="1" applyBorder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readingOrder="0" shrinkToFit="0" vertical="bottom" wrapText="1"/>
    </xf>
    <xf borderId="2" fillId="0" fontId="6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8" fillId="0" fontId="8" numFmtId="0" xfId="0" applyBorder="1" applyFont="1"/>
    <xf borderId="1" fillId="0" fontId="8" numFmtId="0" xfId="0" applyBorder="1" applyFont="1"/>
    <xf borderId="2" fillId="0" fontId="6" numFmtId="0" xfId="0" applyAlignment="1" applyBorder="1" applyFont="1">
      <alignment horizontal="center" shrinkToFit="0" vertical="bottom" wrapText="0"/>
    </xf>
    <xf borderId="9" fillId="0" fontId="9" numFmtId="0" xfId="0" applyAlignment="1" applyBorder="1" applyFont="1">
      <alignment horizontal="center" readingOrder="0" shrinkToFit="0" wrapText="0"/>
    </xf>
    <xf borderId="10" fillId="0" fontId="8" numFmtId="0" xfId="0" applyBorder="1" applyFont="1"/>
    <xf borderId="5" fillId="0" fontId="8" numFmtId="0" xfId="0" applyBorder="1" applyFont="1"/>
    <xf borderId="7" fillId="0" fontId="9" numFmtId="0" xfId="0" applyAlignment="1" applyBorder="1" applyFont="1">
      <alignment horizontal="center" readingOrder="0" shrinkToFit="0" vertical="bottom" wrapText="0"/>
    </xf>
    <xf borderId="11" fillId="0" fontId="8" numFmtId="0" xfId="0" applyBorder="1" applyFont="1"/>
    <xf borderId="12" fillId="0" fontId="8" numFmtId="0" xfId="0" applyBorder="1" applyFont="1"/>
    <xf borderId="6" fillId="0" fontId="8" numFmtId="0" xfId="0" applyBorder="1" applyFont="1"/>
    <xf borderId="2" fillId="0" fontId="9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shrinkToFit="0" wrapText="1"/>
    </xf>
    <xf borderId="2" fillId="3" fontId="6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 shrinkToFit="0" wrapText="0"/>
    </xf>
    <xf borderId="2" fillId="3" fontId="6" numFmtId="0" xfId="0" applyAlignment="1" applyBorder="1" applyFont="1">
      <alignment horizontal="right" readingOrder="0" shrinkToFit="0" vertical="bottom" wrapText="0"/>
    </xf>
    <xf borderId="2" fillId="3" fontId="10" numFmtId="0" xfId="0" applyAlignment="1" applyBorder="1" applyFont="1">
      <alignment horizontal="right" readingOrder="0" shrinkToFit="0" vertical="bottom" wrapText="0"/>
    </xf>
    <xf borderId="2" fillId="0" fontId="9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2" fillId="0" fontId="9" numFmtId="0" xfId="0" applyAlignment="1" applyBorder="1" applyFont="1">
      <alignment horizontal="right" shrinkToFit="0" vertical="bottom" wrapText="0"/>
    </xf>
    <xf borderId="2" fillId="0" fontId="9" numFmtId="2" xfId="0" applyAlignment="1" applyBorder="1" applyFont="1" applyNumberFormat="1">
      <alignment horizontal="right" readingOrder="0" shrinkToFit="0" vertical="bottom" wrapText="0"/>
    </xf>
    <xf borderId="2" fillId="3" fontId="6" numFmtId="0" xfId="0" applyAlignment="1" applyBorder="1" applyFont="1">
      <alignment readingOrder="0" shrinkToFit="0" wrapText="0"/>
    </xf>
    <xf borderId="2" fillId="2" fontId="6" numFmtId="0" xfId="0" applyAlignment="1" applyBorder="1" applyFont="1">
      <alignment horizontal="right" readingOrder="0" shrinkToFit="0" vertical="bottom" wrapText="0"/>
    </xf>
    <xf borderId="2" fillId="2" fontId="9" numFmtId="0" xfId="0" applyAlignment="1" applyBorder="1" applyFont="1">
      <alignment horizontal="right" readingOrder="0" shrinkToFit="0" vertical="bottom" wrapText="0"/>
    </xf>
    <xf borderId="2" fillId="3" fontId="9" numFmtId="0" xfId="0" applyAlignment="1" applyBorder="1" applyFont="1">
      <alignment horizontal="right" shrinkToFit="0" vertical="bottom" wrapText="0"/>
    </xf>
    <xf borderId="2" fillId="0" fontId="7" numFmtId="0" xfId="0" applyAlignment="1" applyBorder="1" applyFont="1">
      <alignment readingOrder="0" shrinkToFit="0" wrapText="1"/>
    </xf>
    <xf borderId="2" fillId="4" fontId="6" numFmtId="0" xfId="0" applyAlignment="1" applyBorder="1" applyFill="1" applyFont="1">
      <alignment readingOrder="0" shrinkToFit="0" wrapText="1"/>
    </xf>
    <xf borderId="2" fillId="4" fontId="7" numFmtId="0" xfId="0" applyAlignment="1" applyBorder="1" applyFont="1">
      <alignment readingOrder="0" shrinkToFit="0" wrapText="0"/>
    </xf>
    <xf borderId="2" fillId="0" fontId="6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readingOrder="0" shrinkToFit="0" vertical="top" wrapText="1"/>
    </xf>
    <xf borderId="2" fillId="4" fontId="6" numFmtId="0" xfId="0" applyAlignment="1" applyBorder="1" applyFont="1">
      <alignment readingOrder="0" shrinkToFit="0" wrapText="0"/>
    </xf>
    <xf borderId="2" fillId="3" fontId="6" numFmtId="0" xfId="0" applyAlignment="1" applyBorder="1" applyFont="1">
      <alignment horizontal="right" shrinkToFit="0" vertical="bottom" wrapText="0"/>
    </xf>
    <xf borderId="2" fillId="0" fontId="4" numFmtId="0" xfId="0" applyBorder="1" applyFont="1"/>
    <xf borderId="2" fillId="0" fontId="11" numFmtId="0" xfId="0" applyAlignment="1" applyBorder="1" applyFont="1">
      <alignment horizontal="right" readingOrder="0" shrinkToFit="0" vertical="bottom" wrapText="0"/>
    </xf>
    <xf borderId="2" fillId="0" fontId="11" numFmtId="0" xfId="0" applyAlignment="1" applyBorder="1" applyFont="1">
      <alignment shrinkToFit="0" vertical="bottom" wrapText="0"/>
    </xf>
    <xf borderId="2" fillId="0" fontId="12" numFmtId="0" xfId="0" applyAlignment="1" applyBorder="1" applyFont="1">
      <alignment horizontal="right" readingOrder="0" shrinkToFit="0" vertical="bottom" wrapText="0"/>
    </xf>
    <xf borderId="2" fillId="0" fontId="13" numFmtId="0" xfId="0" applyAlignment="1" applyBorder="1" applyFont="1">
      <alignment horizontal="right" readingOrder="0" shrinkToFit="0" vertical="bottom" wrapText="0"/>
    </xf>
    <xf borderId="2" fillId="0" fontId="14" numFmtId="0" xfId="0" applyAlignment="1" applyBorder="1" applyFont="1">
      <alignment horizontal="right" readingOrder="0" shrinkToFit="0" vertical="bottom" wrapText="0"/>
    </xf>
    <xf borderId="2" fillId="0" fontId="12" numFmtId="0" xfId="0" applyAlignment="1" applyBorder="1" applyFont="1">
      <alignment shrinkToFit="0" vertical="bottom" wrapText="0"/>
    </xf>
    <xf borderId="0" fillId="0" fontId="15" numFmtId="0" xfId="0" applyAlignment="1" applyFont="1">
      <alignment horizontal="center" readingOrder="0"/>
    </xf>
    <xf borderId="0" fillId="0" fontId="16" numFmtId="2" xfId="0" applyFont="1" applyNumberFormat="1"/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5" fontId="18" numFmtId="0" xfId="0" applyAlignment="1" applyFill="1" applyFont="1">
      <alignment horizontal="center" readingOrder="0" shrinkToFit="0" vertical="bottom" wrapText="0"/>
    </xf>
    <xf borderId="0" fillId="6" fontId="18" numFmtId="0" xfId="0" applyAlignment="1" applyFill="1" applyFont="1">
      <alignment horizontal="center" readingOrder="0" shrinkToFit="0" vertical="bottom" wrapText="0"/>
    </xf>
    <xf borderId="0" fillId="7" fontId="19" numFmtId="0" xfId="0" applyAlignment="1" applyFill="1" applyFont="1">
      <alignment horizontal="center" readingOrder="0" shrinkToFit="0" vertical="bottom" wrapText="0"/>
    </xf>
    <xf borderId="0" fillId="8" fontId="20" numFmtId="2" xfId="0" applyAlignment="1" applyFill="1" applyFont="1" applyNumberFormat="1">
      <alignment horizontal="center" readingOrder="0" vertical="center"/>
    </xf>
    <xf borderId="13" fillId="9" fontId="17" numFmtId="0" xfId="0" applyAlignment="1" applyBorder="1" applyFill="1" applyFont="1">
      <alignment readingOrder="0"/>
    </xf>
    <xf borderId="13" fillId="9" fontId="17" numFmtId="0" xfId="0" applyAlignment="1" applyBorder="1" applyFont="1">
      <alignment horizontal="center" readingOrder="0"/>
    </xf>
    <xf borderId="1" fillId="5" fontId="17" numFmtId="0" xfId="0" applyAlignment="1" applyBorder="1" applyFont="1">
      <alignment horizontal="center" readingOrder="0" shrinkToFit="0" wrapText="0"/>
    </xf>
    <xf borderId="1" fillId="6" fontId="17" numFmtId="0" xfId="0" applyAlignment="1" applyBorder="1" applyFont="1">
      <alignment horizontal="center" readingOrder="0" shrinkToFit="0" wrapText="0"/>
    </xf>
    <xf borderId="1" fillId="7" fontId="21" numFmtId="0" xfId="0" applyAlignment="1" applyBorder="1" applyFont="1">
      <alignment horizontal="center" shrinkToFit="0" vertical="bottom" wrapText="0"/>
    </xf>
    <xf borderId="1" fillId="7" fontId="21" numFmtId="0" xfId="0" applyAlignment="1" applyBorder="1" applyFont="1">
      <alignment horizontal="center" shrinkToFit="0" vertical="bottom" wrapText="0"/>
    </xf>
    <xf borderId="4" fillId="0" fontId="8" numFmtId="0" xfId="0" applyBorder="1" applyFont="1"/>
    <xf borderId="6" fillId="5" fontId="22" numFmtId="0" xfId="0" applyAlignment="1" applyBorder="1" applyFont="1">
      <alignment horizontal="center" readingOrder="0" shrinkToFit="0" vertical="center" wrapText="1"/>
    </xf>
    <xf borderId="6" fillId="6" fontId="22" numFmtId="0" xfId="0" applyAlignment="1" applyBorder="1" applyFont="1">
      <alignment horizontal="center" readingOrder="0" shrinkToFit="0" vertical="center" wrapText="1"/>
    </xf>
    <xf borderId="6" fillId="7" fontId="23" numFmtId="0" xfId="0" applyAlignment="1" applyBorder="1" applyFont="1">
      <alignment horizontal="center" shrinkToFit="0" vertical="center" wrapText="1"/>
    </xf>
    <xf borderId="6" fillId="7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vertical="center"/>
    </xf>
    <xf borderId="4" fillId="0" fontId="25" numFmtId="0" xfId="0" applyAlignment="1" applyBorder="1" applyFont="1">
      <alignment readingOrder="0"/>
    </xf>
    <xf borderId="6" fillId="0" fontId="25" numFmtId="0" xfId="0" applyAlignment="1" applyBorder="1" applyFont="1">
      <alignment horizontal="center" readingOrder="0"/>
    </xf>
    <xf borderId="2" fillId="0" fontId="26" numFmtId="0" xfId="0" applyAlignment="1" applyBorder="1" applyFont="1">
      <alignment horizontal="center" readingOrder="0"/>
    </xf>
    <xf borderId="2" fillId="0" fontId="26" numFmtId="164" xfId="0" applyAlignment="1" applyBorder="1" applyFont="1" applyNumberFormat="1">
      <alignment horizontal="center" readingOrder="0"/>
    </xf>
    <xf borderId="6" fillId="0" fontId="27" numFmtId="2" xfId="0" applyAlignment="1" applyBorder="1" applyFont="1" applyNumberFormat="1">
      <alignment readingOrder="0" vertical="bottom"/>
    </xf>
    <xf borderId="1" fillId="0" fontId="26" numFmtId="0" xfId="0" applyAlignment="1" applyBorder="1" applyFont="1">
      <alignment horizontal="center" readingOrder="0"/>
    </xf>
    <xf borderId="1" fillId="0" fontId="26" numFmtId="164" xfId="0" applyAlignment="1" applyBorder="1" applyFont="1" applyNumberFormat="1">
      <alignment horizontal="center" readingOrder="0"/>
    </xf>
    <xf borderId="2" fillId="0" fontId="27" numFmtId="2" xfId="0" applyAlignment="1" applyBorder="1" applyFont="1" applyNumberFormat="1">
      <alignment vertical="bottom"/>
    </xf>
    <xf borderId="4" fillId="0" fontId="26" numFmtId="0" xfId="0" applyAlignment="1" applyBorder="1" applyFont="1">
      <alignment horizontal="center" readingOrder="0"/>
    </xf>
    <xf borderId="6" fillId="0" fontId="26" numFmtId="0" xfId="0" applyAlignment="1" applyBorder="1" applyFont="1">
      <alignment horizontal="center" readingOrder="0"/>
    </xf>
    <xf borderId="4" fillId="0" fontId="26" numFmtId="164" xfId="0" applyAlignment="1" applyBorder="1" applyFont="1" applyNumberFormat="1">
      <alignment horizontal="center" readingOrder="0"/>
    </xf>
    <xf borderId="6" fillId="0" fontId="26" numFmtId="164" xfId="0" applyAlignment="1" applyBorder="1" applyFont="1" applyNumberFormat="1">
      <alignment horizontal="center" readingOrder="0"/>
    </xf>
    <xf borderId="2" fillId="0" fontId="28" numFmtId="0" xfId="0" applyAlignment="1" applyBorder="1" applyFont="1">
      <alignment horizontal="center" shrinkToFit="0" vertical="top" wrapText="1"/>
    </xf>
    <xf borderId="4" fillId="10" fontId="25" numFmtId="0" xfId="0" applyAlignment="1" applyBorder="1" applyFill="1" applyFont="1">
      <alignment readingOrder="0"/>
    </xf>
    <xf borderId="2" fillId="10" fontId="28" numFmtId="0" xfId="0" applyAlignment="1" applyBorder="1" applyFont="1">
      <alignment horizontal="center" shrinkToFit="0" vertical="top" wrapText="1"/>
    </xf>
    <xf borderId="4" fillId="10" fontId="26" numFmtId="0" xfId="0" applyAlignment="1" applyBorder="1" applyFont="1">
      <alignment horizontal="center" readingOrder="0"/>
    </xf>
    <xf borderId="4" fillId="10" fontId="26" numFmtId="164" xfId="0" applyAlignment="1" applyBorder="1" applyFont="1" applyNumberFormat="1">
      <alignment horizontal="center" readingOrder="0"/>
    </xf>
    <xf borderId="2" fillId="10" fontId="27" numFmtId="2" xfId="0" applyAlignment="1" applyBorder="1" applyFont="1" applyNumberFormat="1">
      <alignment vertical="bottom"/>
    </xf>
    <xf borderId="2" fillId="0" fontId="28" numFmtId="0" xfId="0" applyAlignment="1" applyBorder="1" applyFont="1">
      <alignment shrinkToFit="0" vertical="top" wrapText="1"/>
    </xf>
    <xf borderId="2" fillId="0" fontId="28" numFmtId="165" xfId="0" applyAlignment="1" applyBorder="1" applyFont="1" applyNumberFormat="1">
      <alignment horizontal="center" shrinkToFit="0" vertical="top" wrapText="1"/>
    </xf>
    <xf borderId="6" fillId="0" fontId="26" numFmtId="0" xfId="0" applyAlignment="1" applyBorder="1" applyFont="1">
      <alignment horizontal="center" readingOrder="0" shrinkToFit="0" vertical="bottom" wrapText="0"/>
    </xf>
    <xf borderId="4" fillId="0" fontId="26" numFmtId="0" xfId="0" applyAlignment="1" applyBorder="1" applyFont="1">
      <alignment horizontal="center" readingOrder="0" shrinkToFit="0" vertical="bottom" wrapText="0"/>
    </xf>
    <xf borderId="4" fillId="0" fontId="26" numFmtId="164" xfId="0" applyAlignment="1" applyBorder="1" applyFont="1" applyNumberFormat="1">
      <alignment horizontal="center" readingOrder="0" shrinkToFit="0" wrapText="0"/>
    </xf>
    <xf borderId="6" fillId="0" fontId="26" numFmtId="164" xfId="0" applyAlignment="1" applyBorder="1" applyFont="1" applyNumberFormat="1">
      <alignment horizontal="center" readingOrder="0" shrinkToFit="0" wrapText="0"/>
    </xf>
    <xf borderId="2" fillId="10" fontId="28" numFmtId="0" xfId="0" applyAlignment="1" applyBorder="1" applyFont="1">
      <alignment shrinkToFit="0" vertical="top" wrapText="1"/>
    </xf>
    <xf borderId="2" fillId="10" fontId="28" numFmtId="165" xfId="0" applyAlignment="1" applyBorder="1" applyFont="1" applyNumberFormat="1">
      <alignment horizontal="center" shrinkToFit="0" vertical="top" wrapText="1"/>
    </xf>
    <xf borderId="6" fillId="10" fontId="26" numFmtId="0" xfId="0" applyAlignment="1" applyBorder="1" applyFont="1">
      <alignment horizontal="center" readingOrder="0" shrinkToFit="0" vertical="bottom" wrapText="0"/>
    </xf>
    <xf borderId="1" fillId="10" fontId="26" numFmtId="0" xfId="0" applyAlignment="1" applyBorder="1" applyFont="1">
      <alignment horizontal="center" readingOrder="0"/>
    </xf>
    <xf borderId="4" fillId="10" fontId="26" numFmtId="0" xfId="0" applyAlignment="1" applyBorder="1" applyFont="1">
      <alignment horizontal="center" readingOrder="0" shrinkToFit="0" vertical="bottom" wrapText="0"/>
    </xf>
    <xf borderId="4" fillId="10" fontId="26" numFmtId="164" xfId="0" applyAlignment="1" applyBorder="1" applyFont="1" applyNumberFormat="1">
      <alignment horizontal="center" readingOrder="0" shrinkToFit="0" wrapText="0"/>
    </xf>
    <xf borderId="6" fillId="10" fontId="26" numFmtId="164" xfId="0" applyAlignment="1" applyBorder="1" applyFont="1" applyNumberFormat="1">
      <alignment horizontal="center" readingOrder="0" shrinkToFit="0" wrapText="0"/>
    </xf>
    <xf borderId="2" fillId="10" fontId="25" numFmtId="0" xfId="0" applyAlignment="1" applyBorder="1" applyFont="1">
      <alignment shrinkToFit="0" vertical="top" wrapText="1"/>
    </xf>
    <xf borderId="2" fillId="10" fontId="25" numFmtId="0" xfId="0" applyAlignment="1" applyBorder="1" applyFont="1">
      <alignment horizontal="center" shrinkToFit="0" vertical="top" wrapText="1"/>
    </xf>
    <xf borderId="2" fillId="10" fontId="29" numFmtId="0" xfId="0" applyAlignment="1" applyBorder="1" applyFont="1">
      <alignment horizontal="center" readingOrder="0"/>
    </xf>
    <xf borderId="2" fillId="10" fontId="29" numFmtId="164" xfId="0" applyAlignment="1" applyBorder="1" applyFont="1" applyNumberFormat="1">
      <alignment horizontal="center" readingOrder="0"/>
    </xf>
    <xf borderId="2" fillId="10" fontId="10" numFmtId="2" xfId="0" applyAlignment="1" applyBorder="1" applyFont="1" applyNumberFormat="1">
      <alignment vertical="bottom"/>
    </xf>
    <xf borderId="2" fillId="0" fontId="28" numFmtId="0" xfId="0" applyAlignment="1" applyBorder="1" applyFont="1">
      <alignment shrinkToFit="0" vertical="top" wrapText="1"/>
    </xf>
    <xf borderId="2" fillId="0" fontId="28" numFmtId="0" xfId="0" applyAlignment="1" applyBorder="1" applyFont="1">
      <alignment horizontal="center" shrinkToFit="0" vertical="top" wrapText="1"/>
    </xf>
    <xf borderId="2" fillId="0" fontId="16" numFmtId="0" xfId="0" applyAlignment="1" applyBorder="1" applyFont="1">
      <alignment horizontal="center" readingOrder="0"/>
    </xf>
    <xf borderId="2" fillId="0" fontId="16" numFmtId="164" xfId="0" applyAlignment="1" applyBorder="1" applyFont="1" applyNumberFormat="1">
      <alignment horizontal="center" readingOrder="0"/>
    </xf>
    <xf borderId="2" fillId="10" fontId="28" numFmtId="0" xfId="0" applyAlignment="1" applyBorder="1" applyFont="1">
      <alignment shrinkToFit="0" vertical="top" wrapText="1"/>
    </xf>
    <xf borderId="2" fillId="10" fontId="28" numFmtId="0" xfId="0" applyAlignment="1" applyBorder="1" applyFont="1">
      <alignment horizontal="center" shrinkToFit="0" vertical="top" wrapText="1"/>
    </xf>
    <xf borderId="2" fillId="10" fontId="16" numFmtId="0" xfId="0" applyAlignment="1" applyBorder="1" applyFont="1">
      <alignment horizontal="center" readingOrder="0"/>
    </xf>
    <xf borderId="2" fillId="10" fontId="16" numFmtId="164" xfId="0" applyAlignment="1" applyBorder="1" applyFont="1" applyNumberFormat="1">
      <alignment horizontal="center" readingOrder="0"/>
    </xf>
    <xf borderId="2" fillId="0" fontId="28" numFmtId="0" xfId="0" applyAlignment="1" applyBorder="1" applyFont="1">
      <alignment readingOrder="0"/>
    </xf>
    <xf borderId="2" fillId="0" fontId="28" numFmtId="0" xfId="0" applyAlignment="1" applyBorder="1" applyFont="1">
      <alignment horizontal="center" readingOrder="0"/>
    </xf>
    <xf borderId="2" fillId="10" fontId="16" numFmtId="0" xfId="0" applyAlignment="1" applyBorder="1" applyFont="1">
      <alignment readingOrder="0"/>
    </xf>
    <xf borderId="2" fillId="10" fontId="28" numFmtId="0" xfId="0" applyAlignment="1" applyBorder="1" applyFont="1">
      <alignment horizontal="center" readingOrder="0"/>
    </xf>
    <xf borderId="0" fillId="0" fontId="28" numFmtId="0" xfId="0" applyAlignment="1" applyFont="1">
      <alignment horizontal="center"/>
    </xf>
    <xf borderId="0" fillId="0" fontId="30" numFmtId="0" xfId="0" applyAlignment="1" applyFont="1">
      <alignment horizontal="center" readingOrder="0"/>
    </xf>
    <xf borderId="5" fillId="2" fontId="26" numFmtId="0" xfId="0" applyAlignment="1" applyBorder="1" applyFont="1">
      <alignment horizontal="center" readingOrder="0" shrinkToFit="0" wrapText="1"/>
    </xf>
    <xf borderId="13" fillId="8" fontId="22" numFmtId="0" xfId="0" applyAlignment="1" applyBorder="1" applyFont="1">
      <alignment horizontal="center" readingOrder="0"/>
    </xf>
    <xf borderId="6" fillId="0" fontId="17" numFmtId="4" xfId="0" applyAlignment="1" applyBorder="1" applyFont="1" applyNumberFormat="1">
      <alignment horizontal="center" readingOrder="0" shrinkToFit="0" wrapText="0"/>
    </xf>
    <xf borderId="2" fillId="0" fontId="16" numFmtId="0" xfId="0" applyBorder="1" applyFont="1"/>
    <xf borderId="2" fillId="0" fontId="30" numFmtId="0" xfId="0" applyAlignment="1" applyBorder="1" applyFont="1">
      <alignment horizontal="center" readingOrder="0"/>
    </xf>
    <xf borderId="2" fillId="11" fontId="26" numFmtId="0" xfId="0" applyAlignment="1" applyBorder="1" applyFill="1" applyFont="1">
      <alignment horizontal="center" readingOrder="0"/>
    </xf>
    <xf borderId="2" fillId="11" fontId="17" numFmtId="0" xfId="0" applyAlignment="1" applyBorder="1" applyFont="1">
      <alignment horizontal="center" readingOrder="0"/>
    </xf>
    <xf borderId="2" fillId="0" fontId="16" numFmtId="0" xfId="0" applyAlignment="1" applyBorder="1" applyFont="1">
      <alignment readingOrder="0"/>
    </xf>
    <xf borderId="8" fillId="2" fontId="26" numFmtId="0" xfId="0" applyAlignment="1" applyBorder="1" applyFont="1">
      <alignment horizontal="center" readingOrder="0"/>
    </xf>
    <xf borderId="0" fillId="0" fontId="24" numFmtId="0" xfId="0" applyAlignment="1" applyFont="1">
      <alignment readingOrder="0"/>
    </xf>
    <xf borderId="6" fillId="9" fontId="26" numFmtId="0" xfId="0" applyAlignment="1" applyBorder="1" applyFont="1">
      <alignment horizontal="center" readingOrder="0"/>
    </xf>
    <xf borderId="4" fillId="0" fontId="26" numFmtId="0" xfId="0" applyAlignment="1" applyBorder="1" applyFont="1">
      <alignment readingOrder="0"/>
    </xf>
    <xf borderId="6" fillId="0" fontId="26" numFmtId="2" xfId="0" applyAlignment="1" applyBorder="1" applyFont="1" applyNumberFormat="1">
      <alignment horizontal="center" readingOrder="0"/>
    </xf>
    <xf borderId="6" fillId="0" fontId="17" numFmtId="2" xfId="0" applyAlignment="1" applyBorder="1" applyFont="1" applyNumberFormat="1">
      <alignment horizontal="center" readingOrder="0"/>
    </xf>
    <xf borderId="6" fillId="12" fontId="17" numFmtId="2" xfId="0" applyAlignment="1" applyBorder="1" applyFill="1" applyFont="1" applyNumberFormat="1">
      <alignment horizontal="right" readingOrder="0" shrinkToFit="0" wrapText="0"/>
    </xf>
    <xf borderId="6" fillId="0" fontId="26" numFmtId="2" xfId="0" applyAlignment="1" applyBorder="1" applyFont="1" applyNumberFormat="1">
      <alignment horizontal="center" readingOrder="0" shrinkToFit="0" vertical="bottom" wrapText="0"/>
    </xf>
    <xf borderId="6" fillId="0" fontId="17" numFmtId="2" xfId="0" applyAlignment="1" applyBorder="1" applyFont="1" applyNumberFormat="1">
      <alignment horizontal="right" readingOrder="0" shrinkToFit="0" wrapText="0"/>
    </xf>
    <xf borderId="0" fillId="0" fontId="31" numFmtId="0" xfId="0" applyAlignment="1" applyFont="1">
      <alignment horizontal="center" readingOrder="0" shrinkToFit="0" vertical="top" wrapText="0"/>
    </xf>
    <xf borderId="0" fillId="8" fontId="31" numFmtId="0" xfId="0" applyAlignment="1" applyFont="1">
      <alignment horizontal="center" readingOrder="0" shrinkToFit="0" vertical="top" wrapText="0"/>
    </xf>
    <xf borderId="2" fillId="3" fontId="6" numFmtId="0" xfId="0" applyAlignment="1" applyBorder="1" applyFont="1">
      <alignment readingOrder="0" shrinkToFit="0" vertical="bottom" wrapText="0"/>
    </xf>
    <xf borderId="2" fillId="13" fontId="6" numFmtId="0" xfId="0" applyAlignment="1" applyBorder="1" applyFill="1" applyFont="1">
      <alignment readingOrder="0" shrinkToFit="0" vertical="bottom" wrapText="0"/>
    </xf>
    <xf borderId="2" fillId="13" fontId="6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14" fontId="6" numFmtId="0" xfId="0" applyAlignment="1" applyBorder="1" applyFill="1" applyFont="1">
      <alignment readingOrder="0" shrinkToFit="0" vertical="bottom" wrapText="0"/>
    </xf>
    <xf borderId="2" fillId="14" fontId="6" numFmtId="0" xfId="0" applyAlignment="1" applyBorder="1" applyFont="1">
      <alignment horizontal="right" readingOrder="0" shrinkToFit="0" vertical="bottom" wrapText="0"/>
    </xf>
    <xf borderId="2" fillId="14" fontId="6" numFmtId="0" xfId="0" applyAlignment="1" applyBorder="1" applyFont="1">
      <alignment horizontal="right" readingOrder="0" shrinkToFit="0" vertical="bottom" wrapText="0"/>
    </xf>
    <xf borderId="2" fillId="15" fontId="6" numFmtId="0" xfId="0" applyAlignment="1" applyBorder="1" applyFill="1" applyFont="1">
      <alignment readingOrder="0" shrinkToFit="0" vertical="bottom" wrapText="0"/>
    </xf>
    <xf borderId="2" fillId="15" fontId="6" numFmtId="0" xfId="0" applyAlignment="1" applyBorder="1" applyFont="1">
      <alignment horizontal="right" readingOrder="0" shrinkToFit="0" vertical="bottom" wrapText="0"/>
    </xf>
    <xf borderId="2" fillId="4" fontId="6" numFmtId="0" xfId="0" applyAlignment="1" applyBorder="1" applyFont="1">
      <alignment readingOrder="0" shrinkToFit="0" vertical="bottom" wrapText="0"/>
    </xf>
    <xf borderId="2" fillId="8" fontId="6" numFmtId="0" xfId="0" applyAlignment="1" applyBorder="1" applyFont="1">
      <alignment readingOrder="0" shrinkToFit="0" vertical="bottom" wrapText="0"/>
    </xf>
    <xf borderId="2" fillId="8" fontId="6" numFmtId="0" xfId="0" applyAlignment="1" applyBorder="1" applyFont="1">
      <alignment horizontal="right" readingOrder="0" shrinkToFit="0" vertical="bottom" wrapText="0"/>
    </xf>
    <xf borderId="2" fillId="3" fontId="6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4285F4"/>
          <bgColor rgb="FF4285F4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DISTRIBUI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JETOS-style">
      <tableStyleElement dxfId="2" type="firstRowStripe"/>
      <tableStyleElement dxfId="3" type="secondRowStripe"/>
    </tableStyle>
    <tableStyle count="4" pivot="0" name="DISTRIBUIÇÃO DE VAGAS-style">
      <tableStyleElement dxfId="1" type="headerRow"/>
      <tableStyleElement dxfId="2" type="firstRowStripe"/>
      <tableStyleElement dxfId="8" type="secondRowStripe"/>
      <tableStyleElement dxfId="4" size="0" type="wholeTable"/>
    </tableStyle>
    <tableStyle count="2" pivot="0" name="DISTRIBUIÇÃO DE VAGAS-style 2">
      <tableStyleElement dxfId="2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5" displayName="Tabela_1" name="Tabela_1" id="1">
  <tableColumns count="6">
    <tableColumn name="Coluna 1" id="1"/>
    <tableColumn name="Nº DO CANDIDATO" id="2"/>
    <tableColumn name="TÍTULO DO ANTEPROJETO" id="3"/>
    <tableColumn name="Avaliador 1" id="4"/>
    <tableColumn name="Avaliador 2" id="5"/>
    <tableColumn name="Banca" id="6"/>
  </tableColumns>
  <tableStyleInfo name="DISTRIBUIÇÃO-style" showColumnStripes="0" showFirstColumn="1" showLastColumn="1" showRowStripes="1"/>
</table>
</file>

<file path=xl/tables/table2.xml><?xml version="1.0" encoding="utf-8"?>
<table xmlns="http://schemas.openxmlformats.org/spreadsheetml/2006/main" headerRowCount="0" ref="A5:F38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ROJETOS-style" showColumnStripes="0" showFirstColumn="1" showLastColumn="1" showRowStripes="1"/>
</table>
</file>

<file path=xl/tables/table3.xml><?xml version="1.0" encoding="utf-8"?>
<table xmlns="http://schemas.openxmlformats.org/spreadsheetml/2006/main" ref="A1:E14" displayName="Tabela_2" name="Tabela_2" id="3">
  <tableColumns count="5">
    <tableColumn name="Classificação" id="1"/>
    <tableColumn name="Nome do(a) Candidato(a)" id="2"/>
    <tableColumn name="Nota Final" id="3"/>
    <tableColumn name="Grupo de Concorrência" id="4"/>
    <tableColumn name="Situação Final" id="5"/>
  </tableColumns>
  <tableStyleInfo name="DISTRIBUIÇÃO DE VAGAS-style" showColumnStripes="0" showFirstColumn="1" showLastColumn="1" showRowStripes="1"/>
</table>
</file>

<file path=xl/tables/table4.xml><?xml version="1.0" encoding="utf-8"?>
<table xmlns="http://schemas.openxmlformats.org/spreadsheetml/2006/main" headerRowCount="0" ref="G2:H4" displayName="Table_2" name="Table_2" id="4">
  <tableColumns count="2">
    <tableColumn name="Column1" id="1"/>
    <tableColumn name="Column2" id="2"/>
  </tableColumns>
  <tableStyleInfo name="DISTRIBUIÇÃO DE VAG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1.5"/>
    <col customWidth="1" min="3" max="3" width="109.88"/>
    <col customWidth="1" min="4" max="5" width="29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6">
        <v>1.0</v>
      </c>
      <c r="B2" s="7">
        <v>1.0</v>
      </c>
      <c r="C2" s="8" t="s">
        <v>6</v>
      </c>
      <c r="D2" s="8" t="s">
        <v>7</v>
      </c>
      <c r="E2" s="8" t="s">
        <v>8</v>
      </c>
      <c r="F2" s="9"/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1">
        <v>2.0</v>
      </c>
      <c r="B3" s="7">
        <v>2.0</v>
      </c>
      <c r="C3" s="12" t="s">
        <v>9</v>
      </c>
      <c r="D3" s="8" t="s">
        <v>7</v>
      </c>
      <c r="E3" s="8" t="s">
        <v>8</v>
      </c>
      <c r="F3" s="13"/>
      <c r="G3" s="1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11">
        <v>3.0</v>
      </c>
      <c r="B4" s="7">
        <v>3.0</v>
      </c>
      <c r="C4" s="12" t="s">
        <v>10</v>
      </c>
      <c r="D4" s="8" t="s">
        <v>7</v>
      </c>
      <c r="E4" s="8" t="s">
        <v>8</v>
      </c>
      <c r="F4" s="13"/>
      <c r="G4" s="1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11">
        <v>4.0</v>
      </c>
      <c r="B5" s="7">
        <v>4.0</v>
      </c>
      <c r="C5" s="12" t="s">
        <v>11</v>
      </c>
      <c r="D5" s="8" t="s">
        <v>7</v>
      </c>
      <c r="E5" s="8" t="s">
        <v>8</v>
      </c>
      <c r="F5" s="13"/>
      <c r="G5" s="1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11">
        <v>5.0</v>
      </c>
      <c r="B6" s="7">
        <v>5.0</v>
      </c>
      <c r="C6" s="12" t="s">
        <v>12</v>
      </c>
      <c r="D6" s="8" t="s">
        <v>7</v>
      </c>
      <c r="E6" s="8" t="s">
        <v>8</v>
      </c>
      <c r="F6" s="13"/>
      <c r="G6" s="1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1">
        <v>6.0</v>
      </c>
      <c r="B7" s="7">
        <v>6.0</v>
      </c>
      <c r="C7" s="12" t="s">
        <v>13</v>
      </c>
      <c r="D7" s="8" t="s">
        <v>7</v>
      </c>
      <c r="E7" s="8" t="s">
        <v>8</v>
      </c>
      <c r="F7" s="16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11">
        <v>7.0</v>
      </c>
      <c r="B8" s="7">
        <v>7.0</v>
      </c>
      <c r="C8" s="17" t="s">
        <v>14</v>
      </c>
      <c r="D8" s="8" t="s">
        <v>7</v>
      </c>
      <c r="E8" s="8" t="s">
        <v>8</v>
      </c>
      <c r="F8" s="18"/>
      <c r="G8" s="1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1">
        <v>8.0</v>
      </c>
      <c r="B9" s="7">
        <v>8.0</v>
      </c>
      <c r="C9" s="12" t="s">
        <v>15</v>
      </c>
      <c r="D9" s="8" t="s">
        <v>7</v>
      </c>
      <c r="E9" s="8" t="s">
        <v>8</v>
      </c>
      <c r="F9" s="18"/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11">
        <v>9.0</v>
      </c>
      <c r="B10" s="7">
        <v>9.0</v>
      </c>
      <c r="C10" s="12" t="s">
        <v>16</v>
      </c>
      <c r="D10" s="8" t="s">
        <v>7</v>
      </c>
      <c r="E10" s="8" t="s">
        <v>8</v>
      </c>
      <c r="F10" s="9"/>
      <c r="G10" s="1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11">
        <v>10.0</v>
      </c>
      <c r="B11" s="7">
        <v>10.0</v>
      </c>
      <c r="C11" s="12" t="s">
        <v>17</v>
      </c>
      <c r="D11" s="8" t="s">
        <v>7</v>
      </c>
      <c r="E11" s="8" t="s">
        <v>8</v>
      </c>
      <c r="F11" s="16"/>
      <c r="G11" s="1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11">
        <v>11.0</v>
      </c>
      <c r="B12" s="7">
        <v>11.0</v>
      </c>
      <c r="C12" s="12" t="s">
        <v>18</v>
      </c>
      <c r="D12" s="8" t="s">
        <v>7</v>
      </c>
      <c r="E12" s="8" t="s">
        <v>8</v>
      </c>
      <c r="F12" s="18"/>
      <c r="G12" s="1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11">
        <v>12.0</v>
      </c>
      <c r="B13" s="7">
        <v>12.0</v>
      </c>
      <c r="C13" s="12" t="s">
        <v>19</v>
      </c>
      <c r="D13" s="8" t="s">
        <v>7</v>
      </c>
      <c r="E13" s="8" t="s">
        <v>8</v>
      </c>
      <c r="F13" s="9"/>
      <c r="G13" s="1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11">
        <v>13.0</v>
      </c>
      <c r="B14" s="7">
        <v>13.0</v>
      </c>
      <c r="C14" s="12" t="s">
        <v>20</v>
      </c>
      <c r="D14" s="8" t="s">
        <v>7</v>
      </c>
      <c r="E14" s="8" t="s">
        <v>8</v>
      </c>
      <c r="F14" s="13"/>
      <c r="G14" s="1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11">
        <v>14.0</v>
      </c>
      <c r="B15" s="7">
        <v>14.0</v>
      </c>
      <c r="C15" s="20" t="s">
        <v>21</v>
      </c>
      <c r="D15" s="8" t="s">
        <v>7</v>
      </c>
      <c r="E15" s="8" t="s">
        <v>8</v>
      </c>
      <c r="F15" s="16"/>
      <c r="G15" s="1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11">
        <v>15.0</v>
      </c>
      <c r="B16" s="7">
        <v>15.0</v>
      </c>
      <c r="C16" s="12" t="s">
        <v>22</v>
      </c>
      <c r="D16" s="8" t="s">
        <v>7</v>
      </c>
      <c r="E16" s="8" t="s">
        <v>8</v>
      </c>
      <c r="F16" s="9"/>
      <c r="G16" s="1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11">
        <v>16.0</v>
      </c>
      <c r="B17" s="7">
        <v>16.0</v>
      </c>
      <c r="C17" s="12" t="s">
        <v>23</v>
      </c>
      <c r="D17" s="8" t="s">
        <v>7</v>
      </c>
      <c r="E17" s="8" t="s">
        <v>8</v>
      </c>
      <c r="F17" s="13"/>
      <c r="G17" s="1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11">
        <v>17.0</v>
      </c>
      <c r="B18" s="7">
        <v>17.0</v>
      </c>
      <c r="C18" s="12" t="s">
        <v>24</v>
      </c>
      <c r="D18" s="8" t="s">
        <v>7</v>
      </c>
      <c r="E18" s="8" t="s">
        <v>8</v>
      </c>
      <c r="F18" s="13"/>
      <c r="G18" s="1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11">
        <v>18.0</v>
      </c>
      <c r="B19" s="7">
        <v>18.0</v>
      </c>
      <c r="C19" s="12" t="s">
        <v>25</v>
      </c>
      <c r="D19" s="8" t="s">
        <v>7</v>
      </c>
      <c r="E19" s="8" t="s">
        <v>8</v>
      </c>
      <c r="F19" s="16"/>
      <c r="G19" s="1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11">
        <v>19.0</v>
      </c>
      <c r="B20" s="7">
        <v>19.0</v>
      </c>
      <c r="C20" s="12" t="s">
        <v>26</v>
      </c>
      <c r="D20" s="8" t="s">
        <v>7</v>
      </c>
      <c r="E20" s="8" t="s">
        <v>8</v>
      </c>
      <c r="F20" s="9"/>
      <c r="G20" s="1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11">
        <v>20.0</v>
      </c>
      <c r="B21" s="7">
        <v>20.0</v>
      </c>
      <c r="C21" s="12" t="s">
        <v>27</v>
      </c>
      <c r="D21" s="8" t="s">
        <v>7</v>
      </c>
      <c r="E21" s="8" t="s">
        <v>8</v>
      </c>
      <c r="F21" s="13"/>
      <c r="G21" s="1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11">
        <v>21.0</v>
      </c>
      <c r="B22" s="7">
        <v>21.0</v>
      </c>
      <c r="C22" s="12" t="s">
        <v>28</v>
      </c>
      <c r="D22" s="8" t="s">
        <v>7</v>
      </c>
      <c r="E22" s="8" t="s">
        <v>8</v>
      </c>
      <c r="F22" s="16"/>
      <c r="G22" s="1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11">
        <v>22.0</v>
      </c>
      <c r="B23" s="7">
        <v>22.0</v>
      </c>
      <c r="C23" s="12" t="s">
        <v>29</v>
      </c>
      <c r="D23" s="8" t="s">
        <v>7</v>
      </c>
      <c r="E23" s="8" t="s">
        <v>8</v>
      </c>
      <c r="F23" s="9"/>
      <c r="G23" s="1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11">
        <v>23.0</v>
      </c>
      <c r="B24" s="7">
        <v>23.0</v>
      </c>
      <c r="C24" s="17" t="s">
        <v>30</v>
      </c>
      <c r="D24" s="8" t="s">
        <v>7</v>
      </c>
      <c r="E24" s="8" t="s">
        <v>8</v>
      </c>
      <c r="F24" s="16"/>
      <c r="G24" s="1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11">
        <v>24.0</v>
      </c>
      <c r="B25" s="7">
        <v>24.0</v>
      </c>
      <c r="C25" s="8" t="s">
        <v>31</v>
      </c>
      <c r="D25" s="8" t="s">
        <v>7</v>
      </c>
      <c r="E25" s="8" t="s">
        <v>8</v>
      </c>
      <c r="F25" s="21"/>
      <c r="G25" s="2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23">
        <v>25.0</v>
      </c>
      <c r="B26" s="7">
        <v>25.0</v>
      </c>
      <c r="C26" s="24" t="s">
        <v>32</v>
      </c>
      <c r="D26" s="8" t="s">
        <v>7</v>
      </c>
      <c r="E26" s="8" t="s">
        <v>8</v>
      </c>
      <c r="F26" s="25"/>
      <c r="G26" s="2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23">
        <v>26.0</v>
      </c>
      <c r="B27" s="7">
        <v>26.0</v>
      </c>
      <c r="C27" s="24" t="s">
        <v>33</v>
      </c>
      <c r="D27" s="8" t="s">
        <v>7</v>
      </c>
      <c r="E27" s="8" t="s">
        <v>8</v>
      </c>
      <c r="F27" s="25"/>
      <c r="G27" s="2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23">
        <v>27.0</v>
      </c>
      <c r="B28" s="7">
        <v>27.0</v>
      </c>
      <c r="C28" s="24" t="s">
        <v>34</v>
      </c>
      <c r="D28" s="8" t="s">
        <v>7</v>
      </c>
      <c r="E28" s="8" t="s">
        <v>8</v>
      </c>
      <c r="F28" s="25"/>
      <c r="G28" s="2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23">
        <v>28.0</v>
      </c>
      <c r="B29" s="7">
        <v>28.0</v>
      </c>
      <c r="C29" s="24" t="s">
        <v>35</v>
      </c>
      <c r="D29" s="8" t="s">
        <v>7</v>
      </c>
      <c r="E29" s="8" t="s">
        <v>8</v>
      </c>
      <c r="F29" s="25"/>
      <c r="G29" s="26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23">
        <v>29.0</v>
      </c>
      <c r="B30" s="7">
        <v>29.0</v>
      </c>
      <c r="C30" s="24" t="s">
        <v>36</v>
      </c>
      <c r="D30" s="8" t="s">
        <v>7</v>
      </c>
      <c r="E30" s="8" t="s">
        <v>8</v>
      </c>
      <c r="F30" s="25"/>
      <c r="G30" s="26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23">
        <v>30.0</v>
      </c>
      <c r="B31" s="7">
        <v>30.0</v>
      </c>
      <c r="C31" s="24" t="s">
        <v>37</v>
      </c>
      <c r="D31" s="8" t="s">
        <v>7</v>
      </c>
      <c r="E31" s="8" t="s">
        <v>8</v>
      </c>
      <c r="F31" s="25"/>
      <c r="G31" s="2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23">
        <v>31.0</v>
      </c>
      <c r="B32" s="7">
        <v>31.0</v>
      </c>
      <c r="C32" s="24" t="s">
        <v>38</v>
      </c>
      <c r="D32" s="8" t="s">
        <v>7</v>
      </c>
      <c r="E32" s="8" t="s">
        <v>8</v>
      </c>
      <c r="F32" s="25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23">
        <v>32.0</v>
      </c>
      <c r="B33" s="7">
        <v>32.0</v>
      </c>
      <c r="C33" s="24" t="s">
        <v>39</v>
      </c>
      <c r="D33" s="8" t="s">
        <v>7</v>
      </c>
      <c r="E33" s="8" t="s">
        <v>8</v>
      </c>
      <c r="F33" s="25"/>
      <c r="G33" s="2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23">
        <v>33.0</v>
      </c>
      <c r="B34" s="7">
        <v>33.0</v>
      </c>
      <c r="C34" s="24" t="s">
        <v>40</v>
      </c>
      <c r="D34" s="8" t="s">
        <v>7</v>
      </c>
      <c r="E34" s="8" t="s">
        <v>8</v>
      </c>
      <c r="F34" s="25"/>
      <c r="G34" s="2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23">
        <v>34.0</v>
      </c>
      <c r="B35" s="7">
        <v>34.0</v>
      </c>
      <c r="C35" s="24" t="s">
        <v>41</v>
      </c>
      <c r="D35" s="8" t="s">
        <v>7</v>
      </c>
      <c r="E35" s="8" t="s">
        <v>8</v>
      </c>
      <c r="F35" s="25"/>
      <c r="G35" s="2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custom" allowBlank="1" showDropDown="1" sqref="A2:B3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82.75"/>
    <col customWidth="1" min="3" max="3" width="28.5"/>
    <col customWidth="1" min="4" max="4" width="24.0"/>
    <col customWidth="1" min="5" max="5" width="13.63"/>
    <col customWidth="1" min="6" max="6" width="28.5"/>
    <col customWidth="1" min="7" max="7" width="24.0"/>
    <col customWidth="1" min="8" max="8" width="13.63"/>
    <col customWidth="1" min="36" max="36" width="18.0"/>
  </cols>
  <sheetData>
    <row r="1">
      <c r="A1" s="27"/>
      <c r="B1" s="27"/>
      <c r="C1" s="27"/>
      <c r="D1" s="27"/>
      <c r="E1" s="27"/>
      <c r="F1" s="28"/>
      <c r="G1" s="29"/>
      <c r="H1" s="29"/>
      <c r="I1" s="29"/>
      <c r="J1" s="29"/>
      <c r="K1" s="29"/>
      <c r="L1" s="29"/>
      <c r="M1" s="29"/>
      <c r="N1" s="29"/>
      <c r="O1" s="29"/>
      <c r="P1" s="30"/>
      <c r="Q1" s="31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>
      <c r="A2" s="32"/>
      <c r="B2" s="33"/>
      <c r="C2" s="33"/>
      <c r="D2" s="33"/>
      <c r="E2" s="33"/>
      <c r="F2" s="33"/>
      <c r="G2" s="34"/>
      <c r="H2" s="35" t="s">
        <v>42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30"/>
    </row>
    <row r="3">
      <c r="A3" s="36"/>
      <c r="B3" s="37"/>
      <c r="C3" s="37"/>
      <c r="D3" s="37"/>
      <c r="E3" s="37"/>
      <c r="F3" s="37"/>
      <c r="G3" s="38"/>
      <c r="H3" s="35" t="s">
        <v>43</v>
      </c>
      <c r="I3" s="29"/>
      <c r="J3" s="29"/>
      <c r="K3" s="29"/>
      <c r="L3" s="29"/>
      <c r="M3" s="29"/>
      <c r="N3" s="29"/>
      <c r="O3" s="29"/>
      <c r="P3" s="30"/>
      <c r="Q3" s="39"/>
      <c r="R3" s="35" t="s">
        <v>44</v>
      </c>
      <c r="S3" s="29"/>
      <c r="T3" s="29"/>
      <c r="U3" s="29"/>
      <c r="V3" s="29"/>
      <c r="W3" s="29"/>
      <c r="X3" s="29"/>
      <c r="Y3" s="29"/>
      <c r="Z3" s="30"/>
      <c r="AA3" s="35" t="s">
        <v>45</v>
      </c>
      <c r="AB3" s="29"/>
      <c r="AC3" s="29"/>
      <c r="AD3" s="29"/>
      <c r="AE3" s="29"/>
      <c r="AF3" s="29"/>
      <c r="AG3" s="29"/>
      <c r="AH3" s="29"/>
      <c r="AI3" s="29"/>
      <c r="AJ3" s="30"/>
    </row>
    <row r="4">
      <c r="A4" s="40" t="s">
        <v>1</v>
      </c>
      <c r="B4" s="41" t="s">
        <v>2</v>
      </c>
      <c r="C4" s="41" t="s">
        <v>43</v>
      </c>
      <c r="D4" s="40" t="s">
        <v>46</v>
      </c>
      <c r="E4" s="40" t="s">
        <v>47</v>
      </c>
      <c r="F4" s="41" t="s">
        <v>44</v>
      </c>
      <c r="G4" s="40" t="s">
        <v>46</v>
      </c>
      <c r="H4" s="40" t="s">
        <v>47</v>
      </c>
      <c r="I4" s="40" t="s">
        <v>48</v>
      </c>
      <c r="J4" s="40" t="s">
        <v>49</v>
      </c>
      <c r="K4" s="40" t="s">
        <v>50</v>
      </c>
      <c r="L4" s="40" t="s">
        <v>51</v>
      </c>
      <c r="M4" s="40" t="s">
        <v>52</v>
      </c>
      <c r="N4" s="40" t="s">
        <v>53</v>
      </c>
      <c r="O4" s="40" t="s">
        <v>54</v>
      </c>
      <c r="P4" s="40" t="s">
        <v>55</v>
      </c>
      <c r="Q4" s="40" t="s">
        <v>56</v>
      </c>
      <c r="R4" s="41" t="s">
        <v>48</v>
      </c>
      <c r="S4" s="41" t="s">
        <v>49</v>
      </c>
      <c r="T4" s="41" t="s">
        <v>50</v>
      </c>
      <c r="U4" s="41" t="s">
        <v>51</v>
      </c>
      <c r="V4" s="41" t="s">
        <v>52</v>
      </c>
      <c r="W4" s="41" t="s">
        <v>53</v>
      </c>
      <c r="X4" s="41" t="s">
        <v>54</v>
      </c>
      <c r="Y4" s="41" t="s">
        <v>55</v>
      </c>
      <c r="Z4" s="41" t="s">
        <v>56</v>
      </c>
      <c r="AA4" s="41" t="s">
        <v>48</v>
      </c>
      <c r="AB4" s="41" t="s">
        <v>49</v>
      </c>
      <c r="AC4" s="41" t="s">
        <v>50</v>
      </c>
      <c r="AD4" s="41" t="s">
        <v>51</v>
      </c>
      <c r="AE4" s="41" t="s">
        <v>52</v>
      </c>
      <c r="AF4" s="41" t="s">
        <v>53</v>
      </c>
      <c r="AG4" s="41" t="s">
        <v>54</v>
      </c>
      <c r="AH4" s="41" t="s">
        <v>55</v>
      </c>
      <c r="AI4" s="41" t="s">
        <v>56</v>
      </c>
      <c r="AJ4" s="41" t="s">
        <v>56</v>
      </c>
    </row>
    <row r="5">
      <c r="A5" s="42">
        <v>1.0</v>
      </c>
      <c r="B5" s="43" t="s">
        <v>6</v>
      </c>
      <c r="C5" s="43" t="s">
        <v>7</v>
      </c>
      <c r="D5" s="44" t="s">
        <v>57</v>
      </c>
      <c r="E5" s="45" t="s">
        <v>58</v>
      </c>
      <c r="F5" s="45" t="s">
        <v>8</v>
      </c>
      <c r="G5" s="46"/>
      <c r="H5" s="45" t="s">
        <v>58</v>
      </c>
      <c r="I5" s="47">
        <v>0.8</v>
      </c>
      <c r="J5" s="47">
        <v>1.3</v>
      </c>
      <c r="K5" s="47">
        <v>1.0</v>
      </c>
      <c r="L5" s="48">
        <v>1.6</v>
      </c>
      <c r="M5" s="47">
        <v>1.0</v>
      </c>
      <c r="N5" s="47">
        <v>2.3</v>
      </c>
      <c r="O5" s="47">
        <v>0.5</v>
      </c>
      <c r="P5" s="47">
        <v>0.5</v>
      </c>
      <c r="Q5" s="49">
        <v>9.0</v>
      </c>
      <c r="R5" s="50">
        <v>0.8</v>
      </c>
      <c r="S5" s="50">
        <v>0.8</v>
      </c>
      <c r="T5" s="50">
        <v>1.3</v>
      </c>
      <c r="U5" s="50">
        <v>0.8</v>
      </c>
      <c r="V5" s="50">
        <v>1.0</v>
      </c>
      <c r="W5" s="50">
        <v>0.9</v>
      </c>
      <c r="X5" s="50">
        <v>2.0</v>
      </c>
      <c r="Y5" s="50">
        <v>0.5</v>
      </c>
      <c r="Z5" s="49">
        <v>8.1</v>
      </c>
      <c r="AA5" s="51"/>
      <c r="AB5" s="51"/>
      <c r="AC5" s="51"/>
      <c r="AD5" s="51"/>
      <c r="AE5" s="51"/>
      <c r="AF5" s="51"/>
      <c r="AG5" s="51"/>
      <c r="AH5" s="51"/>
      <c r="AI5" s="51"/>
      <c r="AJ5" s="52">
        <f>(Q5+Z5)/2</f>
        <v>8.55</v>
      </c>
    </row>
    <row r="6">
      <c r="A6" s="42">
        <v>2.0</v>
      </c>
      <c r="B6" s="43" t="s">
        <v>9</v>
      </c>
      <c r="C6" s="43" t="s">
        <v>7</v>
      </c>
      <c r="D6" s="45" t="s">
        <v>57</v>
      </c>
      <c r="E6" s="45" t="s">
        <v>57</v>
      </c>
      <c r="F6" s="45" t="s">
        <v>8</v>
      </c>
      <c r="G6" s="53"/>
      <c r="H6" s="45" t="s">
        <v>57</v>
      </c>
      <c r="I6" s="47">
        <v>1.0</v>
      </c>
      <c r="J6" s="47">
        <v>1.3</v>
      </c>
      <c r="K6" s="47">
        <v>0.6</v>
      </c>
      <c r="L6" s="47">
        <v>1.3</v>
      </c>
      <c r="M6" s="47">
        <v>0.5</v>
      </c>
      <c r="N6" s="47">
        <v>1.0</v>
      </c>
      <c r="O6" s="47">
        <v>0.4</v>
      </c>
      <c r="P6" s="47">
        <v>0.1</v>
      </c>
      <c r="Q6" s="49">
        <v>6.2</v>
      </c>
      <c r="R6" s="50">
        <v>0.8</v>
      </c>
      <c r="S6" s="50">
        <v>1.3</v>
      </c>
      <c r="T6" s="50">
        <v>0.7</v>
      </c>
      <c r="U6" s="50">
        <v>1.5</v>
      </c>
      <c r="V6" s="50">
        <v>0.5</v>
      </c>
      <c r="W6" s="50">
        <v>1.8</v>
      </c>
      <c r="X6" s="50">
        <v>0.5</v>
      </c>
      <c r="Y6" s="50">
        <v>0.5</v>
      </c>
      <c r="Z6" s="49">
        <v>7.6</v>
      </c>
      <c r="AA6" s="54">
        <v>1.0</v>
      </c>
      <c r="AB6" s="54">
        <v>1.5</v>
      </c>
      <c r="AC6" s="54">
        <v>1.0</v>
      </c>
      <c r="AD6" s="54">
        <v>2.0</v>
      </c>
      <c r="AE6" s="54">
        <v>1.0</v>
      </c>
      <c r="AF6" s="54">
        <v>2.0</v>
      </c>
      <c r="AG6" s="54">
        <v>0.5</v>
      </c>
      <c r="AH6" s="54">
        <v>0.5</v>
      </c>
      <c r="AI6" s="55">
        <v>9.5</v>
      </c>
      <c r="AJ6" s="52">
        <f t="shared" ref="AJ6:AJ9" si="1">(Q6+Z6+AI6)/3</f>
        <v>7.766666667</v>
      </c>
    </row>
    <row r="7">
      <c r="A7" s="42">
        <v>3.0</v>
      </c>
      <c r="B7" s="43" t="s">
        <v>10</v>
      </c>
      <c r="C7" s="43" t="s">
        <v>7</v>
      </c>
      <c r="D7" s="45" t="s">
        <v>58</v>
      </c>
      <c r="E7" s="45" t="s">
        <v>58</v>
      </c>
      <c r="F7" s="45" t="s">
        <v>8</v>
      </c>
      <c r="G7" s="53"/>
      <c r="H7" s="45" t="s">
        <v>57</v>
      </c>
      <c r="I7" s="47">
        <v>0.5</v>
      </c>
      <c r="J7" s="47">
        <v>1.0</v>
      </c>
      <c r="K7" s="47">
        <v>1.0</v>
      </c>
      <c r="L7" s="47">
        <v>1.5</v>
      </c>
      <c r="M7" s="47">
        <v>0.3</v>
      </c>
      <c r="N7" s="47">
        <v>2.0</v>
      </c>
      <c r="O7" s="47">
        <v>0.5</v>
      </c>
      <c r="P7" s="47">
        <v>0.2</v>
      </c>
      <c r="Q7" s="49">
        <v>7.0</v>
      </c>
      <c r="R7" s="50">
        <v>1.0</v>
      </c>
      <c r="S7" s="50">
        <v>1.0</v>
      </c>
      <c r="T7" s="50">
        <v>0.4</v>
      </c>
      <c r="U7" s="50">
        <v>1.0</v>
      </c>
      <c r="V7" s="50">
        <v>0.3</v>
      </c>
      <c r="W7" s="50">
        <v>1.2</v>
      </c>
      <c r="X7" s="50">
        <v>0.0</v>
      </c>
      <c r="Y7" s="50">
        <v>0.4</v>
      </c>
      <c r="Z7" s="49">
        <v>5.3</v>
      </c>
      <c r="AA7" s="54">
        <v>0.6</v>
      </c>
      <c r="AB7" s="54">
        <v>1.1</v>
      </c>
      <c r="AC7" s="54">
        <v>0.6</v>
      </c>
      <c r="AD7" s="54">
        <v>1.6</v>
      </c>
      <c r="AE7" s="54">
        <v>0.6</v>
      </c>
      <c r="AF7" s="54">
        <v>1.6</v>
      </c>
      <c r="AG7" s="54">
        <v>0.5</v>
      </c>
      <c r="AH7" s="54">
        <v>0.4</v>
      </c>
      <c r="AI7" s="55">
        <v>7.0</v>
      </c>
      <c r="AJ7" s="52">
        <f t="shared" si="1"/>
        <v>6.433333333</v>
      </c>
    </row>
    <row r="8">
      <c r="A8" s="42">
        <v>4.0</v>
      </c>
      <c r="B8" s="43" t="s">
        <v>11</v>
      </c>
      <c r="C8" s="43" t="s">
        <v>7</v>
      </c>
      <c r="D8" s="44" t="s">
        <v>58</v>
      </c>
      <c r="E8" s="44" t="s">
        <v>58</v>
      </c>
      <c r="F8" s="45" t="s">
        <v>8</v>
      </c>
      <c r="G8" s="46"/>
      <c r="H8" s="45" t="s">
        <v>58</v>
      </c>
      <c r="I8" s="47">
        <v>1.0</v>
      </c>
      <c r="J8" s="47">
        <v>1.5</v>
      </c>
      <c r="K8" s="47">
        <v>0.8</v>
      </c>
      <c r="L8" s="47">
        <v>2.0</v>
      </c>
      <c r="M8" s="47">
        <v>0.8</v>
      </c>
      <c r="N8" s="47">
        <v>2.3</v>
      </c>
      <c r="O8" s="47">
        <v>0.5</v>
      </c>
      <c r="P8" s="47">
        <v>0.5</v>
      </c>
      <c r="Q8" s="49">
        <v>9.4</v>
      </c>
      <c r="R8" s="50">
        <v>1.0</v>
      </c>
      <c r="S8" s="50">
        <v>1.1</v>
      </c>
      <c r="T8" s="50">
        <v>0.6</v>
      </c>
      <c r="U8" s="50">
        <v>1.0</v>
      </c>
      <c r="V8" s="50">
        <v>1.3</v>
      </c>
      <c r="W8" s="50">
        <v>0.4</v>
      </c>
      <c r="X8" s="50">
        <v>0.0</v>
      </c>
      <c r="Y8" s="50">
        <v>0.3</v>
      </c>
      <c r="Z8" s="49">
        <v>5.7</v>
      </c>
      <c r="AA8" s="54">
        <v>1.0</v>
      </c>
      <c r="AB8" s="54">
        <v>0.0</v>
      </c>
      <c r="AC8" s="54">
        <v>1.0</v>
      </c>
      <c r="AD8" s="54">
        <v>1.5</v>
      </c>
      <c r="AE8" s="54">
        <v>1.0</v>
      </c>
      <c r="AF8" s="54">
        <v>1.5</v>
      </c>
      <c r="AG8" s="54">
        <v>0.5</v>
      </c>
      <c r="AH8" s="54">
        <v>0.5</v>
      </c>
      <c r="AI8" s="55">
        <v>7.0</v>
      </c>
      <c r="AJ8" s="52">
        <f t="shared" si="1"/>
        <v>7.366666667</v>
      </c>
    </row>
    <row r="9">
      <c r="A9" s="42">
        <v>5.0</v>
      </c>
      <c r="B9" s="43" t="s">
        <v>12</v>
      </c>
      <c r="C9" s="43" t="s">
        <v>7</v>
      </c>
      <c r="D9" s="44" t="s">
        <v>58</v>
      </c>
      <c r="E9" s="44" t="s">
        <v>58</v>
      </c>
      <c r="F9" s="45" t="s">
        <v>8</v>
      </c>
      <c r="G9" s="46"/>
      <c r="H9" s="45" t="s">
        <v>57</v>
      </c>
      <c r="I9" s="47">
        <v>1.0</v>
      </c>
      <c r="J9" s="47">
        <v>1.2</v>
      </c>
      <c r="K9" s="47">
        <v>0.8</v>
      </c>
      <c r="L9" s="47">
        <v>1.0</v>
      </c>
      <c r="M9" s="47">
        <v>1.0</v>
      </c>
      <c r="N9" s="47">
        <v>1.5</v>
      </c>
      <c r="O9" s="47">
        <v>0.5</v>
      </c>
      <c r="P9" s="47">
        <v>0.5</v>
      </c>
      <c r="Q9" s="49">
        <v>7.5</v>
      </c>
      <c r="R9" s="50">
        <v>1.0</v>
      </c>
      <c r="S9" s="50">
        <v>0.0</v>
      </c>
      <c r="T9" s="50">
        <v>0.5</v>
      </c>
      <c r="U9" s="50">
        <v>1.0</v>
      </c>
      <c r="V9" s="50">
        <v>0.4</v>
      </c>
      <c r="W9" s="50">
        <v>0.8</v>
      </c>
      <c r="X9" s="50">
        <v>0.0</v>
      </c>
      <c r="Y9" s="50">
        <v>0.3</v>
      </c>
      <c r="Z9" s="49">
        <v>4.0</v>
      </c>
      <c r="AA9" s="54">
        <v>1.0</v>
      </c>
      <c r="AB9" s="54">
        <v>0.0</v>
      </c>
      <c r="AC9" s="54">
        <v>0.5</v>
      </c>
      <c r="AD9" s="54">
        <v>1.0</v>
      </c>
      <c r="AE9" s="54">
        <v>0.5</v>
      </c>
      <c r="AF9" s="54">
        <v>1.0</v>
      </c>
      <c r="AG9" s="54">
        <v>0.5</v>
      </c>
      <c r="AH9" s="54">
        <v>0.5</v>
      </c>
      <c r="AI9" s="55">
        <v>5.0</v>
      </c>
      <c r="AJ9" s="52">
        <f t="shared" si="1"/>
        <v>5.5</v>
      </c>
    </row>
    <row r="10">
      <c r="A10" s="42">
        <v>6.0</v>
      </c>
      <c r="B10" s="43" t="s">
        <v>13</v>
      </c>
      <c r="C10" s="43" t="s">
        <v>7</v>
      </c>
      <c r="D10" s="44" t="s">
        <v>57</v>
      </c>
      <c r="E10" s="44" t="s">
        <v>58</v>
      </c>
      <c r="F10" s="45" t="s">
        <v>8</v>
      </c>
      <c r="G10" s="46"/>
      <c r="H10" s="45" t="s">
        <v>58</v>
      </c>
      <c r="I10" s="47">
        <v>1.0</v>
      </c>
      <c r="J10" s="47">
        <v>1.5</v>
      </c>
      <c r="K10" s="47">
        <v>1.0</v>
      </c>
      <c r="L10" s="47">
        <v>2.0</v>
      </c>
      <c r="M10" s="47">
        <v>0.4</v>
      </c>
      <c r="N10" s="47">
        <v>2.0</v>
      </c>
      <c r="O10" s="47">
        <v>0.5</v>
      </c>
      <c r="P10" s="47">
        <v>0.5</v>
      </c>
      <c r="Q10" s="49">
        <v>8.9</v>
      </c>
      <c r="R10" s="50">
        <v>1.0</v>
      </c>
      <c r="S10" s="50">
        <v>1.2</v>
      </c>
      <c r="T10" s="50">
        <v>0.8</v>
      </c>
      <c r="U10" s="50">
        <v>1.5</v>
      </c>
      <c r="V10" s="50">
        <v>0.7</v>
      </c>
      <c r="W10" s="50">
        <v>1.6</v>
      </c>
      <c r="X10" s="50">
        <v>0.5</v>
      </c>
      <c r="Y10" s="50">
        <v>0.3</v>
      </c>
      <c r="Z10" s="49">
        <v>7.6</v>
      </c>
      <c r="AA10" s="56"/>
      <c r="AB10" s="56"/>
      <c r="AC10" s="56"/>
      <c r="AD10" s="56"/>
      <c r="AE10" s="56"/>
      <c r="AF10" s="56"/>
      <c r="AG10" s="56"/>
      <c r="AH10" s="56"/>
      <c r="AI10" s="56"/>
      <c r="AJ10" s="52">
        <f t="shared" ref="AJ10:AJ20" si="2">(Q10+Z10)/2</f>
        <v>8.25</v>
      </c>
    </row>
    <row r="11">
      <c r="A11" s="42">
        <v>7.0</v>
      </c>
      <c r="B11" s="57" t="s">
        <v>14</v>
      </c>
      <c r="C11" s="43" t="s">
        <v>7</v>
      </c>
      <c r="D11" s="58" t="s">
        <v>57</v>
      </c>
      <c r="E11" s="58" t="s">
        <v>58</v>
      </c>
      <c r="F11" s="45" t="s">
        <v>8</v>
      </c>
      <c r="G11" s="59"/>
      <c r="H11" s="45" t="s">
        <v>58</v>
      </c>
      <c r="I11" s="47">
        <v>1.0</v>
      </c>
      <c r="J11" s="47">
        <v>1.2</v>
      </c>
      <c r="K11" s="47">
        <v>1.0</v>
      </c>
      <c r="L11" s="47">
        <v>1.5</v>
      </c>
      <c r="M11" s="47">
        <v>1.0</v>
      </c>
      <c r="N11" s="47">
        <v>2.3</v>
      </c>
      <c r="O11" s="47">
        <v>0.5</v>
      </c>
      <c r="P11" s="47">
        <v>0.4</v>
      </c>
      <c r="Q11" s="49">
        <v>8.9</v>
      </c>
      <c r="R11" s="50">
        <v>0.9</v>
      </c>
      <c r="S11" s="50">
        <v>1.4</v>
      </c>
      <c r="T11" s="50">
        <v>0.9</v>
      </c>
      <c r="U11" s="50">
        <v>1.8</v>
      </c>
      <c r="V11" s="50">
        <v>0.8</v>
      </c>
      <c r="W11" s="50">
        <v>1.9</v>
      </c>
      <c r="X11" s="50">
        <v>0.2</v>
      </c>
      <c r="Y11" s="50">
        <v>0.2</v>
      </c>
      <c r="Z11" s="49">
        <v>8.1</v>
      </c>
      <c r="AA11" s="56"/>
      <c r="AB11" s="56"/>
      <c r="AC11" s="56"/>
      <c r="AD11" s="56"/>
      <c r="AE11" s="56"/>
      <c r="AF11" s="56"/>
      <c r="AG11" s="56"/>
      <c r="AH11" s="56"/>
      <c r="AI11" s="56"/>
      <c r="AJ11" s="52">
        <f t="shared" si="2"/>
        <v>8.5</v>
      </c>
    </row>
    <row r="12">
      <c r="A12" s="42">
        <v>8.0</v>
      </c>
      <c r="B12" s="43" t="s">
        <v>15</v>
      </c>
      <c r="C12" s="43" t="s">
        <v>7</v>
      </c>
      <c r="D12" s="45" t="s">
        <v>57</v>
      </c>
      <c r="E12" s="45" t="s">
        <v>58</v>
      </c>
      <c r="F12" s="45" t="s">
        <v>8</v>
      </c>
      <c r="G12" s="53"/>
      <c r="H12" s="45" t="s">
        <v>58</v>
      </c>
      <c r="I12" s="47">
        <v>0.8</v>
      </c>
      <c r="J12" s="47">
        <v>1.2</v>
      </c>
      <c r="K12" s="47">
        <v>0.8</v>
      </c>
      <c r="L12" s="47">
        <v>1.2</v>
      </c>
      <c r="M12" s="47">
        <v>0.5</v>
      </c>
      <c r="N12" s="47">
        <v>2.3</v>
      </c>
      <c r="O12" s="47">
        <v>0.5</v>
      </c>
      <c r="P12" s="47">
        <v>0.5</v>
      </c>
      <c r="Q12" s="49">
        <v>7.8</v>
      </c>
      <c r="R12" s="50">
        <v>0.8</v>
      </c>
      <c r="S12" s="50">
        <v>1.0</v>
      </c>
      <c r="T12" s="50">
        <v>0.6</v>
      </c>
      <c r="U12" s="50">
        <v>1.2</v>
      </c>
      <c r="V12" s="50">
        <v>0.5</v>
      </c>
      <c r="W12" s="50">
        <v>1.7</v>
      </c>
      <c r="X12" s="50">
        <v>0.5</v>
      </c>
      <c r="Y12" s="50">
        <v>0.4</v>
      </c>
      <c r="Z12" s="49">
        <v>6.7</v>
      </c>
      <c r="AA12" s="56"/>
      <c r="AB12" s="56"/>
      <c r="AC12" s="56"/>
      <c r="AD12" s="56"/>
      <c r="AE12" s="56"/>
      <c r="AF12" s="56"/>
      <c r="AG12" s="56"/>
      <c r="AH12" s="56"/>
      <c r="AI12" s="56"/>
      <c r="AJ12" s="52">
        <f t="shared" si="2"/>
        <v>7.25</v>
      </c>
    </row>
    <row r="13">
      <c r="A13" s="42">
        <v>9.0</v>
      </c>
      <c r="B13" s="43" t="s">
        <v>16</v>
      </c>
      <c r="C13" s="43" t="s">
        <v>7</v>
      </c>
      <c r="D13" s="44" t="s">
        <v>57</v>
      </c>
      <c r="E13" s="44" t="s">
        <v>58</v>
      </c>
      <c r="F13" s="45" t="s">
        <v>8</v>
      </c>
      <c r="G13" s="46"/>
      <c r="H13" s="45" t="s">
        <v>58</v>
      </c>
      <c r="I13" s="47">
        <v>0.5</v>
      </c>
      <c r="J13" s="47">
        <v>1.2</v>
      </c>
      <c r="K13" s="47">
        <v>0.7</v>
      </c>
      <c r="L13" s="47">
        <v>1.5</v>
      </c>
      <c r="M13" s="47">
        <v>0.5</v>
      </c>
      <c r="N13" s="47">
        <v>2.3</v>
      </c>
      <c r="O13" s="47">
        <v>0.4</v>
      </c>
      <c r="P13" s="47">
        <v>0.3</v>
      </c>
      <c r="Q13" s="49">
        <v>7.4</v>
      </c>
      <c r="R13" s="50">
        <v>0.9</v>
      </c>
      <c r="S13" s="50">
        <v>1.4</v>
      </c>
      <c r="T13" s="50">
        <v>0.9</v>
      </c>
      <c r="U13" s="50">
        <v>1.8</v>
      </c>
      <c r="V13" s="50">
        <v>0.9</v>
      </c>
      <c r="W13" s="50">
        <v>2.2</v>
      </c>
      <c r="X13" s="50">
        <v>0.0</v>
      </c>
      <c r="Y13" s="50">
        <v>0.5</v>
      </c>
      <c r="Z13" s="49">
        <v>8.6</v>
      </c>
      <c r="AA13" s="56"/>
      <c r="AB13" s="56"/>
      <c r="AC13" s="56"/>
      <c r="AD13" s="56"/>
      <c r="AE13" s="56"/>
      <c r="AF13" s="56"/>
      <c r="AG13" s="56"/>
      <c r="AH13" s="56"/>
      <c r="AI13" s="56"/>
      <c r="AJ13" s="52">
        <f t="shared" si="2"/>
        <v>8</v>
      </c>
    </row>
    <row r="14">
      <c r="A14" s="42">
        <v>10.0</v>
      </c>
      <c r="B14" s="43" t="s">
        <v>59</v>
      </c>
      <c r="C14" s="43" t="s">
        <v>7</v>
      </c>
      <c r="D14" s="44" t="s">
        <v>57</v>
      </c>
      <c r="E14" s="44" t="s">
        <v>58</v>
      </c>
      <c r="F14" s="45" t="s">
        <v>8</v>
      </c>
      <c r="G14" s="46"/>
      <c r="H14" s="45" t="s">
        <v>58</v>
      </c>
      <c r="I14" s="47">
        <v>0.8</v>
      </c>
      <c r="J14" s="47">
        <v>1.2</v>
      </c>
      <c r="K14" s="47">
        <v>1.0</v>
      </c>
      <c r="L14" s="47">
        <v>1.0</v>
      </c>
      <c r="M14" s="47">
        <v>1.0</v>
      </c>
      <c r="N14" s="47">
        <v>2.3</v>
      </c>
      <c r="O14" s="47">
        <v>0.5</v>
      </c>
      <c r="P14" s="47">
        <v>0.5</v>
      </c>
      <c r="Q14" s="49">
        <v>8.3</v>
      </c>
      <c r="R14" s="50">
        <v>0.9</v>
      </c>
      <c r="S14" s="50">
        <v>1.5</v>
      </c>
      <c r="T14" s="50">
        <v>1.0</v>
      </c>
      <c r="U14" s="50">
        <v>1.5</v>
      </c>
      <c r="V14" s="50">
        <v>1.0</v>
      </c>
      <c r="W14" s="50">
        <v>2.5</v>
      </c>
      <c r="X14" s="50">
        <v>0.0</v>
      </c>
      <c r="Y14" s="50">
        <v>0.5</v>
      </c>
      <c r="Z14" s="49">
        <v>8.9</v>
      </c>
      <c r="AA14" s="60"/>
      <c r="AB14" s="60"/>
      <c r="AC14" s="60"/>
      <c r="AD14" s="60"/>
      <c r="AE14" s="60"/>
      <c r="AF14" s="60"/>
      <c r="AG14" s="60"/>
      <c r="AH14" s="60"/>
      <c r="AI14" s="56"/>
      <c r="AJ14" s="52">
        <f t="shared" si="2"/>
        <v>8.6</v>
      </c>
    </row>
    <row r="15">
      <c r="A15" s="42">
        <v>11.0</v>
      </c>
      <c r="B15" s="43" t="s">
        <v>18</v>
      </c>
      <c r="C15" s="43" t="s">
        <v>7</v>
      </c>
      <c r="D15" s="44" t="s">
        <v>57</v>
      </c>
      <c r="E15" s="44" t="s">
        <v>58</v>
      </c>
      <c r="F15" s="45" t="s">
        <v>8</v>
      </c>
      <c r="G15" s="46"/>
      <c r="H15" s="45" t="s">
        <v>58</v>
      </c>
      <c r="I15" s="47">
        <v>1.0</v>
      </c>
      <c r="J15" s="47">
        <v>1.5</v>
      </c>
      <c r="K15" s="47">
        <v>1.0</v>
      </c>
      <c r="L15" s="47">
        <v>1.5</v>
      </c>
      <c r="M15" s="47">
        <v>1.0</v>
      </c>
      <c r="N15" s="47">
        <v>2.3</v>
      </c>
      <c r="O15" s="47">
        <v>0.5</v>
      </c>
      <c r="P15" s="47">
        <v>0.5</v>
      </c>
      <c r="Q15" s="49">
        <v>9.3</v>
      </c>
      <c r="R15" s="50">
        <v>0.9</v>
      </c>
      <c r="S15" s="50">
        <v>1.3</v>
      </c>
      <c r="T15" s="50">
        <v>1.0</v>
      </c>
      <c r="U15" s="50">
        <v>1.7</v>
      </c>
      <c r="V15" s="50">
        <v>1.0</v>
      </c>
      <c r="W15" s="50">
        <v>2.0</v>
      </c>
      <c r="X15" s="50">
        <v>0.0</v>
      </c>
      <c r="Y15" s="50">
        <v>0.5</v>
      </c>
      <c r="Z15" s="49">
        <v>8.4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2">
        <f t="shared" si="2"/>
        <v>8.85</v>
      </c>
    </row>
    <row r="16">
      <c r="A16" s="42">
        <v>12.0</v>
      </c>
      <c r="B16" s="43" t="s">
        <v>19</v>
      </c>
      <c r="C16" s="43" t="s">
        <v>7</v>
      </c>
      <c r="D16" s="44" t="s">
        <v>57</v>
      </c>
      <c r="E16" s="44" t="s">
        <v>58</v>
      </c>
      <c r="F16" s="45" t="s">
        <v>8</v>
      </c>
      <c r="G16" s="46"/>
      <c r="H16" s="45" t="s">
        <v>58</v>
      </c>
      <c r="I16" s="47">
        <v>1.0</v>
      </c>
      <c r="J16" s="47">
        <v>1.2</v>
      </c>
      <c r="K16" s="47">
        <v>1.0</v>
      </c>
      <c r="L16" s="47">
        <v>2.0</v>
      </c>
      <c r="M16" s="47">
        <v>0.5</v>
      </c>
      <c r="N16" s="47">
        <v>2.3</v>
      </c>
      <c r="O16" s="47">
        <v>0.5</v>
      </c>
      <c r="P16" s="47">
        <v>0.5</v>
      </c>
      <c r="Q16" s="49">
        <v>9.0</v>
      </c>
      <c r="R16" s="50">
        <v>0.7</v>
      </c>
      <c r="S16" s="50">
        <v>1.2</v>
      </c>
      <c r="T16" s="50">
        <v>0.8</v>
      </c>
      <c r="U16" s="50">
        <v>1.5</v>
      </c>
      <c r="V16" s="50">
        <v>0.7</v>
      </c>
      <c r="W16" s="50">
        <v>2.5</v>
      </c>
      <c r="X16" s="50">
        <v>0.5</v>
      </c>
      <c r="Y16" s="50">
        <v>0.5</v>
      </c>
      <c r="Z16" s="49">
        <v>8.4</v>
      </c>
      <c r="AA16" s="56"/>
      <c r="AB16" s="56"/>
      <c r="AC16" s="56"/>
      <c r="AD16" s="56"/>
      <c r="AE16" s="56"/>
      <c r="AF16" s="56"/>
      <c r="AG16" s="56"/>
      <c r="AH16" s="56"/>
      <c r="AI16" s="56"/>
      <c r="AJ16" s="52">
        <f t="shared" si="2"/>
        <v>8.7</v>
      </c>
    </row>
    <row r="17">
      <c r="A17" s="42">
        <v>13.0</v>
      </c>
      <c r="B17" s="43" t="s">
        <v>20</v>
      </c>
      <c r="C17" s="43" t="s">
        <v>7</v>
      </c>
      <c r="D17" s="45" t="s">
        <v>58</v>
      </c>
      <c r="E17" s="45" t="s">
        <v>58</v>
      </c>
      <c r="F17" s="45" t="s">
        <v>8</v>
      </c>
      <c r="G17" s="53"/>
      <c r="H17" s="45" t="s">
        <v>58</v>
      </c>
      <c r="I17" s="47">
        <v>1.0</v>
      </c>
      <c r="J17" s="47">
        <v>1.2</v>
      </c>
      <c r="K17" s="47">
        <v>1.0</v>
      </c>
      <c r="L17" s="47">
        <v>2.0</v>
      </c>
      <c r="M17" s="47">
        <v>0.8</v>
      </c>
      <c r="N17" s="47">
        <v>2.3</v>
      </c>
      <c r="O17" s="47">
        <v>0.5</v>
      </c>
      <c r="P17" s="47">
        <v>0.5</v>
      </c>
      <c r="Q17" s="49">
        <v>9.3</v>
      </c>
      <c r="R17" s="50">
        <v>0.9</v>
      </c>
      <c r="S17" s="50">
        <v>1.4</v>
      </c>
      <c r="T17" s="50">
        <v>0.9</v>
      </c>
      <c r="U17" s="50">
        <v>1.9</v>
      </c>
      <c r="V17" s="50">
        <v>1.0</v>
      </c>
      <c r="W17" s="50">
        <v>2.0</v>
      </c>
      <c r="X17" s="50">
        <v>0.0</v>
      </c>
      <c r="Y17" s="50">
        <v>0.5</v>
      </c>
      <c r="Z17" s="49">
        <v>8.6</v>
      </c>
      <c r="AA17" s="56"/>
      <c r="AB17" s="56"/>
      <c r="AC17" s="56"/>
      <c r="AD17" s="56"/>
      <c r="AE17" s="56"/>
      <c r="AF17" s="56"/>
      <c r="AG17" s="56"/>
      <c r="AH17" s="56"/>
      <c r="AI17" s="56"/>
      <c r="AJ17" s="52">
        <f t="shared" si="2"/>
        <v>8.95</v>
      </c>
    </row>
    <row r="18">
      <c r="A18" s="42">
        <v>14.0</v>
      </c>
      <c r="B18" s="61" t="s">
        <v>21</v>
      </c>
      <c r="C18" s="43" t="s">
        <v>7</v>
      </c>
      <c r="D18" s="45" t="s">
        <v>57</v>
      </c>
      <c r="E18" s="45" t="s">
        <v>58</v>
      </c>
      <c r="F18" s="45" t="s">
        <v>8</v>
      </c>
      <c r="G18" s="53"/>
      <c r="H18" s="45" t="s">
        <v>58</v>
      </c>
      <c r="I18" s="47">
        <v>1.0</v>
      </c>
      <c r="J18" s="47">
        <v>1.3</v>
      </c>
      <c r="K18" s="47">
        <v>1.0</v>
      </c>
      <c r="L18" s="47">
        <v>1.8</v>
      </c>
      <c r="M18" s="47">
        <v>1.0</v>
      </c>
      <c r="N18" s="47">
        <v>2.3</v>
      </c>
      <c r="O18" s="47">
        <v>0.5</v>
      </c>
      <c r="P18" s="47">
        <v>0.5</v>
      </c>
      <c r="Q18" s="49">
        <v>9.4</v>
      </c>
      <c r="R18" s="50">
        <v>1.0</v>
      </c>
      <c r="S18" s="50">
        <v>1.5</v>
      </c>
      <c r="T18" s="50">
        <v>1.0</v>
      </c>
      <c r="U18" s="50">
        <v>1.5</v>
      </c>
      <c r="V18" s="50">
        <v>0.8</v>
      </c>
      <c r="W18" s="50">
        <v>2.5</v>
      </c>
      <c r="X18" s="50">
        <v>0.5</v>
      </c>
      <c r="Y18" s="50">
        <v>0.5</v>
      </c>
      <c r="Z18" s="49">
        <v>9.3</v>
      </c>
      <c r="AA18" s="56"/>
      <c r="AB18" s="56"/>
      <c r="AC18" s="56"/>
      <c r="AD18" s="56"/>
      <c r="AE18" s="56"/>
      <c r="AF18" s="56"/>
      <c r="AG18" s="56"/>
      <c r="AH18" s="56"/>
      <c r="AI18" s="56"/>
      <c r="AJ18" s="52">
        <f t="shared" si="2"/>
        <v>9.35</v>
      </c>
    </row>
    <row r="19">
      <c r="A19" s="42">
        <v>15.0</v>
      </c>
      <c r="B19" s="43" t="s">
        <v>22</v>
      </c>
      <c r="C19" s="43" t="s">
        <v>7</v>
      </c>
      <c r="D19" s="44" t="s">
        <v>57</v>
      </c>
      <c r="E19" s="44" t="s">
        <v>58</v>
      </c>
      <c r="F19" s="45" t="s">
        <v>8</v>
      </c>
      <c r="G19" s="46"/>
      <c r="H19" s="45" t="s">
        <v>58</v>
      </c>
      <c r="I19" s="47">
        <v>1.0</v>
      </c>
      <c r="J19" s="47">
        <v>1.5</v>
      </c>
      <c r="K19" s="47">
        <v>1.0</v>
      </c>
      <c r="L19" s="47">
        <v>2.0</v>
      </c>
      <c r="M19" s="47">
        <v>1.0</v>
      </c>
      <c r="N19" s="47">
        <v>2.5</v>
      </c>
      <c r="O19" s="47">
        <v>0.5</v>
      </c>
      <c r="P19" s="47">
        <v>0.5</v>
      </c>
      <c r="Q19" s="49">
        <v>10.0</v>
      </c>
      <c r="R19" s="50">
        <v>0.9</v>
      </c>
      <c r="S19" s="50">
        <v>1.3</v>
      </c>
      <c r="T19" s="50">
        <v>0.9</v>
      </c>
      <c r="U19" s="50">
        <v>1.8</v>
      </c>
      <c r="V19" s="50">
        <v>0.8</v>
      </c>
      <c r="W19" s="50">
        <v>1.9</v>
      </c>
      <c r="X19" s="50">
        <v>0.3</v>
      </c>
      <c r="Y19" s="50">
        <v>0.5</v>
      </c>
      <c r="Z19" s="49">
        <v>8.4</v>
      </c>
      <c r="AA19" s="56"/>
      <c r="AB19" s="56"/>
      <c r="AC19" s="56"/>
      <c r="AD19" s="56"/>
      <c r="AE19" s="56"/>
      <c r="AF19" s="56"/>
      <c r="AG19" s="56"/>
      <c r="AH19" s="56"/>
      <c r="AI19" s="56"/>
      <c r="AJ19" s="52">
        <f t="shared" si="2"/>
        <v>9.2</v>
      </c>
    </row>
    <row r="20">
      <c r="A20" s="42">
        <v>16.0</v>
      </c>
      <c r="B20" s="43" t="s">
        <v>23</v>
      </c>
      <c r="C20" s="43" t="s">
        <v>7</v>
      </c>
      <c r="D20" s="45" t="s">
        <v>58</v>
      </c>
      <c r="E20" s="45" t="s">
        <v>58</v>
      </c>
      <c r="F20" s="45" t="s">
        <v>8</v>
      </c>
      <c r="G20" s="53"/>
      <c r="H20" s="45" t="s">
        <v>58</v>
      </c>
      <c r="I20" s="47">
        <v>1.0</v>
      </c>
      <c r="J20" s="47">
        <v>1.5</v>
      </c>
      <c r="K20" s="47">
        <v>1.0</v>
      </c>
      <c r="L20" s="47">
        <v>2.0</v>
      </c>
      <c r="M20" s="47">
        <v>0.6</v>
      </c>
      <c r="N20" s="47">
        <v>2.5</v>
      </c>
      <c r="O20" s="47">
        <v>0.5</v>
      </c>
      <c r="P20" s="47">
        <v>0.3</v>
      </c>
      <c r="Q20" s="49">
        <v>9.4</v>
      </c>
      <c r="R20" s="50">
        <v>0.9</v>
      </c>
      <c r="S20" s="50">
        <v>1.4</v>
      </c>
      <c r="T20" s="50">
        <v>1.0</v>
      </c>
      <c r="U20" s="50">
        <v>2.0</v>
      </c>
      <c r="V20" s="50">
        <v>0.8</v>
      </c>
      <c r="W20" s="50">
        <v>2.0</v>
      </c>
      <c r="X20" s="50">
        <v>0.5</v>
      </c>
      <c r="Y20" s="50">
        <v>0.5</v>
      </c>
      <c r="Z20" s="49">
        <v>9.1</v>
      </c>
      <c r="AA20" s="56"/>
      <c r="AB20" s="56"/>
      <c r="AC20" s="56"/>
      <c r="AD20" s="56"/>
      <c r="AE20" s="56"/>
      <c r="AF20" s="56"/>
      <c r="AG20" s="56"/>
      <c r="AH20" s="56"/>
      <c r="AI20" s="56"/>
      <c r="AJ20" s="52">
        <f t="shared" si="2"/>
        <v>9.25</v>
      </c>
    </row>
    <row r="21">
      <c r="A21" s="42">
        <v>17.0</v>
      </c>
      <c r="B21" s="43" t="s">
        <v>24</v>
      </c>
      <c r="C21" s="43" t="s">
        <v>7</v>
      </c>
      <c r="D21" s="45" t="s">
        <v>57</v>
      </c>
      <c r="E21" s="45" t="s">
        <v>58</v>
      </c>
      <c r="F21" s="45" t="s">
        <v>8</v>
      </c>
      <c r="G21" s="53"/>
      <c r="H21" s="45" t="s">
        <v>58</v>
      </c>
      <c r="I21" s="47">
        <v>1.0</v>
      </c>
      <c r="J21" s="47">
        <v>1.5</v>
      </c>
      <c r="K21" s="47">
        <v>0.8</v>
      </c>
      <c r="L21" s="47">
        <v>1.8</v>
      </c>
      <c r="M21" s="47">
        <v>0.8</v>
      </c>
      <c r="N21" s="47">
        <v>2.0</v>
      </c>
      <c r="O21" s="47">
        <v>0.5</v>
      </c>
      <c r="P21" s="47">
        <v>0.5</v>
      </c>
      <c r="Q21" s="49">
        <v>8.9</v>
      </c>
      <c r="R21" s="50">
        <v>0.7</v>
      </c>
      <c r="S21" s="50">
        <v>1.0</v>
      </c>
      <c r="T21" s="50">
        <v>0.7</v>
      </c>
      <c r="U21" s="50">
        <v>1.6</v>
      </c>
      <c r="V21" s="50">
        <v>0.5</v>
      </c>
      <c r="W21" s="50">
        <v>1.5</v>
      </c>
      <c r="X21" s="50">
        <v>0.2</v>
      </c>
      <c r="Y21" s="50">
        <v>0.4</v>
      </c>
      <c r="Z21" s="49">
        <v>6.6</v>
      </c>
      <c r="AA21" s="54">
        <v>1.0</v>
      </c>
      <c r="AB21" s="54">
        <v>1.5</v>
      </c>
      <c r="AC21" s="54">
        <v>1.0</v>
      </c>
      <c r="AD21" s="54">
        <v>2.0</v>
      </c>
      <c r="AE21" s="54">
        <v>1.0</v>
      </c>
      <c r="AF21" s="54">
        <v>2.5</v>
      </c>
      <c r="AG21" s="54">
        <v>0.5</v>
      </c>
      <c r="AH21" s="54">
        <v>0.5</v>
      </c>
      <c r="AI21" s="55">
        <v>10.0</v>
      </c>
      <c r="AJ21" s="52">
        <f t="shared" ref="AJ21:AJ23" si="3">(Q21+Z21+AI21)/3</f>
        <v>8.5</v>
      </c>
    </row>
    <row r="22">
      <c r="A22" s="42">
        <v>18.0</v>
      </c>
      <c r="B22" s="43" t="s">
        <v>25</v>
      </c>
      <c r="C22" s="43" t="s">
        <v>7</v>
      </c>
      <c r="D22" s="58" t="s">
        <v>57</v>
      </c>
      <c r="E22" s="58" t="s">
        <v>58</v>
      </c>
      <c r="F22" s="45" t="s">
        <v>8</v>
      </c>
      <c r="G22" s="62"/>
      <c r="H22" s="45" t="s">
        <v>58</v>
      </c>
      <c r="I22" s="47">
        <v>1.0</v>
      </c>
      <c r="J22" s="47">
        <v>1.3</v>
      </c>
      <c r="K22" s="47">
        <v>1.0</v>
      </c>
      <c r="L22" s="47">
        <v>1.8</v>
      </c>
      <c r="M22" s="47">
        <v>1.0</v>
      </c>
      <c r="N22" s="47">
        <v>2.2</v>
      </c>
      <c r="O22" s="47">
        <v>0.5</v>
      </c>
      <c r="P22" s="47">
        <v>0.5</v>
      </c>
      <c r="Q22" s="49">
        <v>9.3</v>
      </c>
      <c r="R22" s="50">
        <v>0.9</v>
      </c>
      <c r="S22" s="50">
        <v>1.4</v>
      </c>
      <c r="T22" s="50">
        <v>0.9</v>
      </c>
      <c r="U22" s="50">
        <v>1.9</v>
      </c>
      <c r="V22" s="50">
        <v>0.9</v>
      </c>
      <c r="W22" s="50">
        <v>2.3</v>
      </c>
      <c r="X22" s="50">
        <v>0.5</v>
      </c>
      <c r="Y22" s="50">
        <v>0.5</v>
      </c>
      <c r="Z22" s="49">
        <v>9.3</v>
      </c>
      <c r="AA22" s="54">
        <v>1.0</v>
      </c>
      <c r="AB22" s="54">
        <v>1.0</v>
      </c>
      <c r="AC22" s="54">
        <v>0.7</v>
      </c>
      <c r="AD22" s="54">
        <v>1.5</v>
      </c>
      <c r="AE22" s="54">
        <v>1.0</v>
      </c>
      <c r="AF22" s="54">
        <v>1.5</v>
      </c>
      <c r="AG22" s="54">
        <v>0.5</v>
      </c>
      <c r="AH22" s="54">
        <v>0.5</v>
      </c>
      <c r="AI22" s="55">
        <v>7.7</v>
      </c>
      <c r="AJ22" s="52">
        <f t="shared" si="3"/>
        <v>8.766666667</v>
      </c>
    </row>
    <row r="23">
      <c r="A23" s="42">
        <v>19.0</v>
      </c>
      <c r="B23" s="43" t="s">
        <v>26</v>
      </c>
      <c r="C23" s="43" t="s">
        <v>7</v>
      </c>
      <c r="D23" s="58" t="s">
        <v>57</v>
      </c>
      <c r="E23" s="58" t="s">
        <v>58</v>
      </c>
      <c r="F23" s="45" t="s">
        <v>8</v>
      </c>
      <c r="G23" s="62"/>
      <c r="H23" s="45" t="s">
        <v>58</v>
      </c>
      <c r="I23" s="47">
        <v>1.0</v>
      </c>
      <c r="J23" s="47">
        <v>1.3</v>
      </c>
      <c r="K23" s="47">
        <v>1.0</v>
      </c>
      <c r="L23" s="47">
        <v>1.8</v>
      </c>
      <c r="M23" s="47">
        <v>1.0</v>
      </c>
      <c r="N23" s="47">
        <v>2.0</v>
      </c>
      <c r="O23" s="47">
        <v>0.5</v>
      </c>
      <c r="P23" s="47">
        <v>0.5</v>
      </c>
      <c r="Q23" s="49">
        <v>9.1</v>
      </c>
      <c r="R23" s="50">
        <v>0.5</v>
      </c>
      <c r="S23" s="50">
        <v>0.8</v>
      </c>
      <c r="T23" s="50">
        <v>0.5</v>
      </c>
      <c r="U23" s="50">
        <v>1.0</v>
      </c>
      <c r="V23" s="50">
        <v>0.6</v>
      </c>
      <c r="W23" s="50">
        <v>1.2</v>
      </c>
      <c r="X23" s="50">
        <v>0.0</v>
      </c>
      <c r="Y23" s="50">
        <v>0.5</v>
      </c>
      <c r="Z23" s="49">
        <v>5.1</v>
      </c>
      <c r="AA23" s="54">
        <v>0.8</v>
      </c>
      <c r="AB23" s="54">
        <v>1.2</v>
      </c>
      <c r="AC23" s="54">
        <v>1.0</v>
      </c>
      <c r="AD23" s="54">
        <v>1.7</v>
      </c>
      <c r="AE23" s="54">
        <v>1.0</v>
      </c>
      <c r="AF23" s="54">
        <v>2.0</v>
      </c>
      <c r="AG23" s="54">
        <v>0.5</v>
      </c>
      <c r="AH23" s="54">
        <v>0.5</v>
      </c>
      <c r="AI23" s="55">
        <v>8.7</v>
      </c>
      <c r="AJ23" s="52">
        <f t="shared" si="3"/>
        <v>7.633333333</v>
      </c>
    </row>
    <row r="24">
      <c r="A24" s="42">
        <v>20.0</v>
      </c>
      <c r="B24" s="43" t="s">
        <v>27</v>
      </c>
      <c r="C24" s="43" t="s">
        <v>7</v>
      </c>
      <c r="D24" s="44" t="s">
        <v>58</v>
      </c>
      <c r="E24" s="44" t="s">
        <v>58</v>
      </c>
      <c r="F24" s="45" t="s">
        <v>8</v>
      </c>
      <c r="G24" s="46"/>
      <c r="H24" s="45" t="s">
        <v>58</v>
      </c>
      <c r="I24" s="47">
        <v>1.0</v>
      </c>
      <c r="J24" s="47">
        <v>1.5</v>
      </c>
      <c r="K24" s="47">
        <v>1.0</v>
      </c>
      <c r="L24" s="47">
        <v>2.0</v>
      </c>
      <c r="M24" s="47">
        <v>0.8</v>
      </c>
      <c r="N24" s="47">
        <v>2.5</v>
      </c>
      <c r="O24" s="47">
        <v>0.5</v>
      </c>
      <c r="P24" s="47">
        <v>0.3</v>
      </c>
      <c r="Q24" s="49">
        <v>9.6</v>
      </c>
      <c r="R24" s="50">
        <v>0.8</v>
      </c>
      <c r="S24" s="50">
        <v>1.2</v>
      </c>
      <c r="T24" s="50">
        <v>0.8</v>
      </c>
      <c r="U24" s="50">
        <v>1.7</v>
      </c>
      <c r="V24" s="50">
        <v>0.7</v>
      </c>
      <c r="W24" s="50">
        <v>1.0</v>
      </c>
      <c r="X24" s="50">
        <v>0.5</v>
      </c>
      <c r="Y24" s="50">
        <v>0.3</v>
      </c>
      <c r="Z24" s="49">
        <v>7.0</v>
      </c>
      <c r="AA24" s="63"/>
      <c r="AB24" s="63"/>
      <c r="AC24" s="63"/>
      <c r="AD24" s="63"/>
      <c r="AE24" s="63"/>
      <c r="AF24" s="63"/>
      <c r="AG24" s="63"/>
      <c r="AH24" s="63"/>
      <c r="AI24" s="56"/>
      <c r="AJ24" s="52">
        <f>(Q24+Z24)/2</f>
        <v>8.3</v>
      </c>
    </row>
    <row r="25">
      <c r="A25" s="42">
        <v>21.0</v>
      </c>
      <c r="B25" s="43" t="s">
        <v>28</v>
      </c>
      <c r="C25" s="43" t="s">
        <v>7</v>
      </c>
      <c r="D25" s="44" t="s">
        <v>58</v>
      </c>
      <c r="E25" s="44" t="s">
        <v>58</v>
      </c>
      <c r="F25" s="45" t="s">
        <v>8</v>
      </c>
      <c r="G25" s="46"/>
      <c r="H25" s="45" t="s">
        <v>58</v>
      </c>
      <c r="I25" s="47">
        <v>1.0</v>
      </c>
      <c r="J25" s="47">
        <v>1.5</v>
      </c>
      <c r="K25" s="47">
        <v>1.0</v>
      </c>
      <c r="L25" s="47">
        <v>1.7</v>
      </c>
      <c r="M25" s="47">
        <v>1.0</v>
      </c>
      <c r="N25" s="47">
        <v>2.0</v>
      </c>
      <c r="O25" s="47">
        <v>0.5</v>
      </c>
      <c r="P25" s="47">
        <v>0.3</v>
      </c>
      <c r="Q25" s="49">
        <v>9.0</v>
      </c>
      <c r="R25" s="50">
        <v>0.7</v>
      </c>
      <c r="S25" s="50">
        <v>0.9</v>
      </c>
      <c r="T25" s="50">
        <v>0.6</v>
      </c>
      <c r="U25" s="50">
        <v>1.0</v>
      </c>
      <c r="V25" s="50">
        <v>0.6</v>
      </c>
      <c r="W25" s="50">
        <v>1.5</v>
      </c>
      <c r="X25" s="50">
        <v>0.5</v>
      </c>
      <c r="Y25" s="50">
        <v>0.4</v>
      </c>
      <c r="Z25" s="49">
        <v>6.2</v>
      </c>
      <c r="AA25" s="54">
        <v>0.9</v>
      </c>
      <c r="AB25" s="54">
        <v>1.5</v>
      </c>
      <c r="AC25" s="54">
        <v>1.0</v>
      </c>
      <c r="AD25" s="54">
        <v>2.0</v>
      </c>
      <c r="AE25" s="54">
        <v>0.4</v>
      </c>
      <c r="AF25" s="54">
        <v>1.8</v>
      </c>
      <c r="AG25" s="54">
        <v>0.5</v>
      </c>
      <c r="AH25" s="54">
        <v>0.5</v>
      </c>
      <c r="AI25" s="55">
        <v>8.6</v>
      </c>
      <c r="AJ25" s="52">
        <f>(Q25+Z25+AI25)/3</f>
        <v>7.933333333</v>
      </c>
    </row>
    <row r="26">
      <c r="A26" s="42">
        <v>22.0</v>
      </c>
      <c r="B26" s="43" t="s">
        <v>29</v>
      </c>
      <c r="C26" s="43" t="s">
        <v>7</v>
      </c>
      <c r="D26" s="45" t="s">
        <v>57</v>
      </c>
      <c r="E26" s="45" t="s">
        <v>58</v>
      </c>
      <c r="F26" s="45" t="s">
        <v>8</v>
      </c>
      <c r="G26" s="53"/>
      <c r="H26" s="45" t="s">
        <v>58</v>
      </c>
      <c r="I26" s="47">
        <v>1.0</v>
      </c>
      <c r="J26" s="47">
        <v>1.2</v>
      </c>
      <c r="K26" s="47">
        <v>1.0</v>
      </c>
      <c r="L26" s="47">
        <v>2.0</v>
      </c>
      <c r="M26" s="47">
        <v>1.0</v>
      </c>
      <c r="N26" s="47">
        <v>2.3</v>
      </c>
      <c r="O26" s="47">
        <v>0.5</v>
      </c>
      <c r="P26" s="47">
        <v>0.5</v>
      </c>
      <c r="Q26" s="49">
        <v>9.5</v>
      </c>
      <c r="R26" s="50">
        <v>0.9</v>
      </c>
      <c r="S26" s="50">
        <v>1.4</v>
      </c>
      <c r="T26" s="50">
        <v>0.9</v>
      </c>
      <c r="U26" s="50">
        <v>1.9</v>
      </c>
      <c r="V26" s="50">
        <v>0.9</v>
      </c>
      <c r="W26" s="50">
        <v>2.0</v>
      </c>
      <c r="X26" s="50">
        <v>0.5</v>
      </c>
      <c r="Y26" s="50">
        <v>0.5</v>
      </c>
      <c r="Z26" s="49">
        <v>9.0</v>
      </c>
      <c r="AA26" s="63"/>
      <c r="AB26" s="63"/>
      <c r="AC26" s="63"/>
      <c r="AD26" s="63"/>
      <c r="AE26" s="63"/>
      <c r="AF26" s="63"/>
      <c r="AG26" s="63"/>
      <c r="AH26" s="63"/>
      <c r="AI26" s="56"/>
      <c r="AJ26" s="52">
        <f t="shared" ref="AJ26:AJ27" si="4">(Q26+Z26)/2</f>
        <v>9.25</v>
      </c>
    </row>
    <row r="27">
      <c r="A27" s="42">
        <v>23.0</v>
      </c>
      <c r="B27" s="57" t="s">
        <v>30</v>
      </c>
      <c r="C27" s="43" t="s">
        <v>7</v>
      </c>
      <c r="D27" s="45" t="s">
        <v>57</v>
      </c>
      <c r="E27" s="45" t="s">
        <v>58</v>
      </c>
      <c r="F27" s="45" t="s">
        <v>8</v>
      </c>
      <c r="G27" s="59"/>
      <c r="H27" s="45" t="s">
        <v>58</v>
      </c>
      <c r="I27" s="47">
        <v>1.0</v>
      </c>
      <c r="J27" s="47">
        <v>1.2</v>
      </c>
      <c r="K27" s="47">
        <v>1.0</v>
      </c>
      <c r="L27" s="47">
        <v>1.8</v>
      </c>
      <c r="M27" s="47">
        <v>0.8</v>
      </c>
      <c r="N27" s="47">
        <v>2.3</v>
      </c>
      <c r="O27" s="47">
        <v>0.5</v>
      </c>
      <c r="P27" s="47">
        <v>0.5</v>
      </c>
      <c r="Q27" s="49">
        <v>9.1</v>
      </c>
      <c r="R27" s="50">
        <v>0.8</v>
      </c>
      <c r="S27" s="50">
        <v>1.2</v>
      </c>
      <c r="T27" s="50">
        <v>0.8</v>
      </c>
      <c r="U27" s="50">
        <v>1.7</v>
      </c>
      <c r="V27" s="50">
        <v>0.7</v>
      </c>
      <c r="W27" s="50">
        <v>1.6</v>
      </c>
      <c r="X27" s="50">
        <v>0.3</v>
      </c>
      <c r="Y27" s="50">
        <v>0.4</v>
      </c>
      <c r="Z27" s="49">
        <v>7.5</v>
      </c>
      <c r="AA27" s="63"/>
      <c r="AB27" s="63"/>
      <c r="AC27" s="63"/>
      <c r="AD27" s="63"/>
      <c r="AE27" s="63"/>
      <c r="AF27" s="63"/>
      <c r="AG27" s="63"/>
      <c r="AH27" s="63"/>
      <c r="AI27" s="56"/>
      <c r="AJ27" s="52">
        <f t="shared" si="4"/>
        <v>8.3</v>
      </c>
    </row>
    <row r="28">
      <c r="A28" s="42">
        <v>24.0</v>
      </c>
      <c r="B28" s="43" t="s">
        <v>31</v>
      </c>
      <c r="C28" s="43" t="s">
        <v>7</v>
      </c>
      <c r="D28" s="44" t="s">
        <v>57</v>
      </c>
      <c r="E28" s="44" t="s">
        <v>58</v>
      </c>
      <c r="F28" s="45" t="s">
        <v>8</v>
      </c>
      <c r="G28" s="46"/>
      <c r="H28" s="45" t="s">
        <v>57</v>
      </c>
      <c r="I28" s="47">
        <v>0.5</v>
      </c>
      <c r="J28" s="47">
        <v>1.0</v>
      </c>
      <c r="K28" s="47">
        <v>1.0</v>
      </c>
      <c r="L28" s="47">
        <v>1.5</v>
      </c>
      <c r="M28" s="47">
        <v>0.3</v>
      </c>
      <c r="N28" s="47">
        <v>1.6</v>
      </c>
      <c r="O28" s="47">
        <v>0.5</v>
      </c>
      <c r="P28" s="47">
        <v>0.2</v>
      </c>
      <c r="Q28" s="49">
        <v>6.6</v>
      </c>
      <c r="R28" s="50">
        <v>0.6</v>
      </c>
      <c r="S28" s="50">
        <v>0.8</v>
      </c>
      <c r="T28" s="50">
        <v>0.6</v>
      </c>
      <c r="U28" s="50">
        <v>1.2</v>
      </c>
      <c r="V28" s="50">
        <v>0.7</v>
      </c>
      <c r="W28" s="50">
        <v>1.0</v>
      </c>
      <c r="X28" s="50">
        <v>0.0</v>
      </c>
      <c r="Y28" s="50">
        <v>0.5</v>
      </c>
      <c r="Z28" s="49">
        <v>5.4</v>
      </c>
      <c r="AA28" s="54">
        <v>0.8</v>
      </c>
      <c r="AB28" s="54">
        <v>0.7</v>
      </c>
      <c r="AC28" s="54">
        <v>0.5</v>
      </c>
      <c r="AD28" s="54">
        <v>1.0</v>
      </c>
      <c r="AE28" s="54">
        <v>1.0</v>
      </c>
      <c r="AF28" s="54">
        <v>1.0</v>
      </c>
      <c r="AG28" s="54">
        <v>0.5</v>
      </c>
      <c r="AH28" s="54">
        <v>0.5</v>
      </c>
      <c r="AI28" s="55">
        <v>6.0</v>
      </c>
      <c r="AJ28" s="52">
        <f>(Q28+Z28+AI28)/3</f>
        <v>6</v>
      </c>
    </row>
    <row r="29">
      <c r="A29" s="42">
        <v>25.0</v>
      </c>
      <c r="B29" s="44" t="s">
        <v>32</v>
      </c>
      <c r="C29" s="43" t="s">
        <v>7</v>
      </c>
      <c r="D29" s="44" t="s">
        <v>58</v>
      </c>
      <c r="E29" s="44" t="s">
        <v>58</v>
      </c>
      <c r="F29" s="45" t="s">
        <v>8</v>
      </c>
      <c r="G29" s="64"/>
      <c r="H29" s="45" t="s">
        <v>58</v>
      </c>
      <c r="I29" s="65">
        <v>0.8</v>
      </c>
      <c r="J29" s="65">
        <v>1.3</v>
      </c>
      <c r="K29" s="65">
        <v>0.8</v>
      </c>
      <c r="L29" s="65">
        <v>1.7</v>
      </c>
      <c r="M29" s="65">
        <v>0.8</v>
      </c>
      <c r="N29" s="65">
        <v>2.0</v>
      </c>
      <c r="O29" s="65">
        <v>0.5</v>
      </c>
      <c r="P29" s="65">
        <v>0.5</v>
      </c>
      <c r="Q29" s="49">
        <v>8.4</v>
      </c>
      <c r="R29" s="50">
        <v>1.0</v>
      </c>
      <c r="S29" s="50">
        <v>1.5</v>
      </c>
      <c r="T29" s="50">
        <v>1.0</v>
      </c>
      <c r="U29" s="50">
        <v>2.0</v>
      </c>
      <c r="V29" s="50">
        <v>0.9</v>
      </c>
      <c r="W29" s="50">
        <v>1.5</v>
      </c>
      <c r="X29" s="50">
        <v>0.5</v>
      </c>
      <c r="Y29" s="50">
        <v>0.5</v>
      </c>
      <c r="Z29" s="49">
        <v>8.9</v>
      </c>
      <c r="AA29" s="66"/>
      <c r="AB29" s="66"/>
      <c r="AC29" s="66"/>
      <c r="AD29" s="66"/>
      <c r="AE29" s="66"/>
      <c r="AF29" s="66"/>
      <c r="AG29" s="66"/>
      <c r="AH29" s="66"/>
      <c r="AI29" s="66"/>
      <c r="AJ29" s="52">
        <f t="shared" ref="AJ29:AJ38" si="5">(Q29+Z29)/2</f>
        <v>8.65</v>
      </c>
    </row>
    <row r="30">
      <c r="A30" s="42">
        <v>26.0</v>
      </c>
      <c r="B30" s="44" t="s">
        <v>33</v>
      </c>
      <c r="C30" s="43" t="s">
        <v>7</v>
      </c>
      <c r="D30" s="44" t="s">
        <v>57</v>
      </c>
      <c r="E30" s="44" t="s">
        <v>58</v>
      </c>
      <c r="F30" s="45" t="s">
        <v>8</v>
      </c>
      <c r="G30" s="64"/>
      <c r="H30" s="45" t="s">
        <v>58</v>
      </c>
      <c r="I30" s="65">
        <v>1.0</v>
      </c>
      <c r="J30" s="65">
        <v>1.3</v>
      </c>
      <c r="K30" s="65">
        <v>1.0</v>
      </c>
      <c r="L30" s="65">
        <v>2.0</v>
      </c>
      <c r="M30" s="65">
        <v>1.0</v>
      </c>
      <c r="N30" s="65">
        <v>2.3</v>
      </c>
      <c r="O30" s="65">
        <v>0.5</v>
      </c>
      <c r="P30" s="65">
        <v>0.5</v>
      </c>
      <c r="Q30" s="49">
        <v>9.6</v>
      </c>
      <c r="R30" s="50">
        <v>0.9</v>
      </c>
      <c r="S30" s="50">
        <v>1.3</v>
      </c>
      <c r="T30" s="50">
        <v>0.9</v>
      </c>
      <c r="U30" s="50">
        <v>1.8</v>
      </c>
      <c r="V30" s="50">
        <v>0.7</v>
      </c>
      <c r="W30" s="50">
        <v>2.0</v>
      </c>
      <c r="X30" s="50">
        <v>0.5</v>
      </c>
      <c r="Y30" s="50">
        <v>0.5</v>
      </c>
      <c r="Z30" s="49">
        <v>8.6</v>
      </c>
      <c r="AA30" s="66"/>
      <c r="AB30" s="66"/>
      <c r="AC30" s="66"/>
      <c r="AD30" s="66"/>
      <c r="AE30" s="66"/>
      <c r="AF30" s="66"/>
      <c r="AG30" s="66"/>
      <c r="AH30" s="66"/>
      <c r="AI30" s="66"/>
      <c r="AJ30" s="52">
        <f t="shared" si="5"/>
        <v>9.1</v>
      </c>
    </row>
    <row r="31">
      <c r="A31" s="42">
        <v>27.0</v>
      </c>
      <c r="B31" s="44" t="s">
        <v>34</v>
      </c>
      <c r="C31" s="43" t="s">
        <v>7</v>
      </c>
      <c r="D31" s="44" t="s">
        <v>57</v>
      </c>
      <c r="E31" s="44" t="s">
        <v>58</v>
      </c>
      <c r="F31" s="45" t="s">
        <v>8</v>
      </c>
      <c r="G31" s="64"/>
      <c r="H31" s="45" t="s">
        <v>58</v>
      </c>
      <c r="I31" s="65">
        <v>1.0</v>
      </c>
      <c r="J31" s="65">
        <v>1.5</v>
      </c>
      <c r="K31" s="65">
        <v>1.0</v>
      </c>
      <c r="L31" s="65">
        <v>2.0</v>
      </c>
      <c r="M31" s="65">
        <v>0.8</v>
      </c>
      <c r="N31" s="65">
        <v>2.5</v>
      </c>
      <c r="O31" s="65">
        <v>0.5</v>
      </c>
      <c r="P31" s="65">
        <v>0.5</v>
      </c>
      <c r="Q31" s="49">
        <v>9.8</v>
      </c>
      <c r="R31" s="50">
        <v>1.0</v>
      </c>
      <c r="S31" s="50">
        <v>1.5</v>
      </c>
      <c r="T31" s="50">
        <v>1.0</v>
      </c>
      <c r="U31" s="50">
        <v>2.0</v>
      </c>
      <c r="V31" s="50">
        <v>1.0</v>
      </c>
      <c r="W31" s="50">
        <v>2.3</v>
      </c>
      <c r="X31" s="50">
        <v>0.0</v>
      </c>
      <c r="Y31" s="50">
        <v>0.5</v>
      </c>
      <c r="Z31" s="49">
        <v>9.3</v>
      </c>
      <c r="AA31" s="66"/>
      <c r="AB31" s="66"/>
      <c r="AC31" s="66"/>
      <c r="AD31" s="66"/>
      <c r="AE31" s="66"/>
      <c r="AF31" s="66"/>
      <c r="AG31" s="66"/>
      <c r="AH31" s="66"/>
      <c r="AI31" s="66"/>
      <c r="AJ31" s="52">
        <f t="shared" si="5"/>
        <v>9.55</v>
      </c>
    </row>
    <row r="32">
      <c r="A32" s="42">
        <v>28.0</v>
      </c>
      <c r="B32" s="44" t="s">
        <v>35</v>
      </c>
      <c r="C32" s="43" t="s">
        <v>7</v>
      </c>
      <c r="D32" s="44" t="s">
        <v>58</v>
      </c>
      <c r="E32" s="44" t="s">
        <v>58</v>
      </c>
      <c r="F32" s="45" t="s">
        <v>8</v>
      </c>
      <c r="G32" s="64"/>
      <c r="H32" s="45" t="s">
        <v>58</v>
      </c>
      <c r="I32" s="65">
        <v>1.0</v>
      </c>
      <c r="J32" s="65">
        <v>1.5</v>
      </c>
      <c r="K32" s="65">
        <v>1.0</v>
      </c>
      <c r="L32" s="65">
        <v>2.0</v>
      </c>
      <c r="M32" s="65">
        <v>1.0</v>
      </c>
      <c r="N32" s="65">
        <v>2.5</v>
      </c>
      <c r="O32" s="65">
        <v>0.5</v>
      </c>
      <c r="P32" s="65">
        <v>0.3</v>
      </c>
      <c r="Q32" s="49">
        <v>9.8</v>
      </c>
      <c r="R32" s="50">
        <v>0.9</v>
      </c>
      <c r="S32" s="50">
        <v>1.3</v>
      </c>
      <c r="T32" s="50">
        <v>0.9</v>
      </c>
      <c r="U32" s="50">
        <v>1.8</v>
      </c>
      <c r="V32" s="50">
        <v>0.7</v>
      </c>
      <c r="W32" s="50">
        <v>2.0</v>
      </c>
      <c r="X32" s="50">
        <v>0.5</v>
      </c>
      <c r="Y32" s="50">
        <v>0.4</v>
      </c>
      <c r="Z32" s="49">
        <v>8.5</v>
      </c>
      <c r="AA32" s="66"/>
      <c r="AB32" s="66"/>
      <c r="AC32" s="66"/>
      <c r="AD32" s="66"/>
      <c r="AE32" s="66"/>
      <c r="AF32" s="66"/>
      <c r="AG32" s="66"/>
      <c r="AH32" s="66"/>
      <c r="AI32" s="66"/>
      <c r="AJ32" s="52">
        <f t="shared" si="5"/>
        <v>9.15</v>
      </c>
    </row>
    <row r="33">
      <c r="A33" s="42">
        <v>29.0</v>
      </c>
      <c r="B33" s="44" t="s">
        <v>36</v>
      </c>
      <c r="C33" s="43" t="s">
        <v>7</v>
      </c>
      <c r="D33" s="44" t="s">
        <v>57</v>
      </c>
      <c r="E33" s="44" t="s">
        <v>58</v>
      </c>
      <c r="F33" s="45" t="s">
        <v>8</v>
      </c>
      <c r="G33" s="64"/>
      <c r="H33" s="45" t="s">
        <v>58</v>
      </c>
      <c r="I33" s="65">
        <v>1.0</v>
      </c>
      <c r="J33" s="65">
        <v>1.3</v>
      </c>
      <c r="K33" s="65">
        <v>0.8</v>
      </c>
      <c r="L33" s="65">
        <v>2.0</v>
      </c>
      <c r="M33" s="65">
        <v>0.8</v>
      </c>
      <c r="N33" s="65">
        <v>2.3</v>
      </c>
      <c r="O33" s="65">
        <v>0.5</v>
      </c>
      <c r="P33" s="65">
        <v>0.5</v>
      </c>
      <c r="Q33" s="49">
        <v>9.2</v>
      </c>
      <c r="R33" s="50">
        <v>0.9</v>
      </c>
      <c r="S33" s="50">
        <v>1.2</v>
      </c>
      <c r="T33" s="50">
        <v>0.8</v>
      </c>
      <c r="U33" s="50">
        <v>1.8</v>
      </c>
      <c r="V33" s="50">
        <v>0.9</v>
      </c>
      <c r="W33" s="50">
        <v>2.1</v>
      </c>
      <c r="X33" s="50">
        <v>0.5</v>
      </c>
      <c r="Y33" s="50">
        <v>0.4</v>
      </c>
      <c r="Z33" s="49">
        <v>8.6</v>
      </c>
      <c r="AA33" s="66"/>
      <c r="AB33" s="66"/>
      <c r="AC33" s="66"/>
      <c r="AD33" s="66"/>
      <c r="AE33" s="66"/>
      <c r="AF33" s="66"/>
      <c r="AG33" s="66"/>
      <c r="AH33" s="66"/>
      <c r="AI33" s="66"/>
      <c r="AJ33" s="52">
        <f t="shared" si="5"/>
        <v>8.9</v>
      </c>
    </row>
    <row r="34">
      <c r="A34" s="42">
        <v>30.0</v>
      </c>
      <c r="B34" s="44" t="s">
        <v>37</v>
      </c>
      <c r="C34" s="43" t="s">
        <v>7</v>
      </c>
      <c r="D34" s="44" t="s">
        <v>57</v>
      </c>
      <c r="E34" s="44" t="s">
        <v>58</v>
      </c>
      <c r="F34" s="45" t="s">
        <v>8</v>
      </c>
      <c r="G34" s="64"/>
      <c r="H34" s="45" t="s">
        <v>58</v>
      </c>
      <c r="I34" s="65">
        <v>0.8</v>
      </c>
      <c r="J34" s="65">
        <v>1.5</v>
      </c>
      <c r="K34" s="65">
        <v>1.0</v>
      </c>
      <c r="L34" s="65">
        <v>1.8</v>
      </c>
      <c r="M34" s="65">
        <v>0.8</v>
      </c>
      <c r="N34" s="65">
        <v>2.3</v>
      </c>
      <c r="O34" s="65">
        <v>0.5</v>
      </c>
      <c r="P34" s="65">
        <v>0.5</v>
      </c>
      <c r="Q34" s="49">
        <v>9.2</v>
      </c>
      <c r="R34" s="50">
        <v>1.0</v>
      </c>
      <c r="S34" s="50">
        <v>1.5</v>
      </c>
      <c r="T34" s="50">
        <v>1.0</v>
      </c>
      <c r="U34" s="50">
        <v>2.0</v>
      </c>
      <c r="V34" s="50">
        <v>0.9</v>
      </c>
      <c r="W34" s="50">
        <v>1.5</v>
      </c>
      <c r="X34" s="50">
        <v>0.5</v>
      </c>
      <c r="Y34" s="50">
        <v>0.5</v>
      </c>
      <c r="Z34" s="49">
        <v>8.9</v>
      </c>
      <c r="AA34" s="66"/>
      <c r="AB34" s="66"/>
      <c r="AC34" s="66"/>
      <c r="AD34" s="66"/>
      <c r="AE34" s="66"/>
      <c r="AF34" s="66"/>
      <c r="AG34" s="66"/>
      <c r="AH34" s="66"/>
      <c r="AI34" s="66"/>
      <c r="AJ34" s="52">
        <f t="shared" si="5"/>
        <v>9.05</v>
      </c>
    </row>
    <row r="35">
      <c r="A35" s="42">
        <v>31.0</v>
      </c>
      <c r="B35" s="44" t="s">
        <v>38</v>
      </c>
      <c r="C35" s="43" t="s">
        <v>7</v>
      </c>
      <c r="D35" s="44" t="s">
        <v>57</v>
      </c>
      <c r="E35" s="44" t="s">
        <v>58</v>
      </c>
      <c r="F35" s="45" t="s">
        <v>8</v>
      </c>
      <c r="G35" s="64"/>
      <c r="H35" s="45" t="s">
        <v>58</v>
      </c>
      <c r="I35" s="65">
        <v>1.0</v>
      </c>
      <c r="J35" s="65">
        <v>1.3</v>
      </c>
      <c r="K35" s="65">
        <v>1.0</v>
      </c>
      <c r="L35" s="65">
        <v>2.0</v>
      </c>
      <c r="M35" s="65">
        <v>1.0</v>
      </c>
      <c r="N35" s="65">
        <v>2.3</v>
      </c>
      <c r="O35" s="65">
        <v>0.5</v>
      </c>
      <c r="P35" s="65">
        <v>0.5</v>
      </c>
      <c r="Q35" s="49">
        <v>9.6</v>
      </c>
      <c r="R35" s="50">
        <v>0.8</v>
      </c>
      <c r="S35" s="50">
        <v>1.2</v>
      </c>
      <c r="T35" s="50">
        <v>0.9</v>
      </c>
      <c r="U35" s="50">
        <v>1.9</v>
      </c>
      <c r="V35" s="50">
        <v>0.6</v>
      </c>
      <c r="W35" s="50">
        <v>2.0</v>
      </c>
      <c r="X35" s="50">
        <v>0.0</v>
      </c>
      <c r="Y35" s="50">
        <v>0.2</v>
      </c>
      <c r="Z35" s="49">
        <v>7.6</v>
      </c>
      <c r="AA35" s="66"/>
      <c r="AB35" s="66"/>
      <c r="AC35" s="66"/>
      <c r="AD35" s="66"/>
      <c r="AE35" s="66"/>
      <c r="AF35" s="66"/>
      <c r="AG35" s="66"/>
      <c r="AH35" s="66"/>
      <c r="AI35" s="66"/>
      <c r="AJ35" s="52">
        <f t="shared" si="5"/>
        <v>8.6</v>
      </c>
    </row>
    <row r="36">
      <c r="A36" s="42">
        <v>32.0</v>
      </c>
      <c r="B36" s="44" t="s">
        <v>39</v>
      </c>
      <c r="C36" s="43" t="s">
        <v>7</v>
      </c>
      <c r="D36" s="44" t="s">
        <v>57</v>
      </c>
      <c r="E36" s="44" t="s">
        <v>58</v>
      </c>
      <c r="F36" s="45" t="s">
        <v>8</v>
      </c>
      <c r="G36" s="64"/>
      <c r="H36" s="45" t="s">
        <v>58</v>
      </c>
      <c r="I36" s="67">
        <v>1.0</v>
      </c>
      <c r="J36" s="67">
        <v>1.0</v>
      </c>
      <c r="K36" s="67">
        <v>0.8</v>
      </c>
      <c r="L36" s="67">
        <v>1.5</v>
      </c>
      <c r="M36" s="67">
        <v>0.8</v>
      </c>
      <c r="N36" s="67">
        <v>2.0</v>
      </c>
      <c r="O36" s="67">
        <v>0.5</v>
      </c>
      <c r="P36" s="67">
        <v>0.2</v>
      </c>
      <c r="Q36" s="68">
        <v>7.8</v>
      </c>
      <c r="R36" s="69">
        <v>0.8</v>
      </c>
      <c r="S36" s="69">
        <v>1.2</v>
      </c>
      <c r="T36" s="69">
        <v>0.8</v>
      </c>
      <c r="U36" s="69">
        <v>1.2</v>
      </c>
      <c r="V36" s="69">
        <v>0.8</v>
      </c>
      <c r="W36" s="69">
        <v>1.9</v>
      </c>
      <c r="X36" s="69">
        <v>0.5</v>
      </c>
      <c r="Y36" s="69">
        <v>0.4</v>
      </c>
      <c r="Z36" s="68">
        <v>7.6</v>
      </c>
      <c r="AA36" s="70"/>
      <c r="AB36" s="70"/>
      <c r="AC36" s="70"/>
      <c r="AD36" s="70"/>
      <c r="AE36" s="70"/>
      <c r="AF36" s="70"/>
      <c r="AG36" s="70"/>
      <c r="AH36" s="70"/>
      <c r="AI36" s="70"/>
      <c r="AJ36" s="52">
        <f t="shared" si="5"/>
        <v>7.7</v>
      </c>
    </row>
    <row r="37">
      <c r="A37" s="42">
        <v>33.0</v>
      </c>
      <c r="B37" s="44" t="s">
        <v>40</v>
      </c>
      <c r="C37" s="43" t="s">
        <v>7</v>
      </c>
      <c r="D37" s="44" t="s">
        <v>57</v>
      </c>
      <c r="E37" s="44" t="s">
        <v>58</v>
      </c>
      <c r="F37" s="45" t="s">
        <v>8</v>
      </c>
      <c r="G37" s="64"/>
      <c r="H37" s="45" t="s">
        <v>58</v>
      </c>
      <c r="I37" s="65">
        <v>0.8</v>
      </c>
      <c r="J37" s="65">
        <v>1.2</v>
      </c>
      <c r="K37" s="65">
        <v>0.8</v>
      </c>
      <c r="L37" s="65">
        <v>1.5</v>
      </c>
      <c r="M37" s="65">
        <v>1.0</v>
      </c>
      <c r="N37" s="65">
        <v>2.0</v>
      </c>
      <c r="O37" s="65">
        <v>0.5</v>
      </c>
      <c r="P37" s="65">
        <v>0.5</v>
      </c>
      <c r="Q37" s="49">
        <v>8.3</v>
      </c>
      <c r="R37" s="50">
        <v>0.9</v>
      </c>
      <c r="S37" s="50">
        <v>1.3</v>
      </c>
      <c r="T37" s="50">
        <v>0.9</v>
      </c>
      <c r="U37" s="50">
        <v>1.9</v>
      </c>
      <c r="V37" s="50">
        <v>2.1</v>
      </c>
      <c r="W37" s="50">
        <v>0.5</v>
      </c>
      <c r="X37" s="50">
        <v>0.5</v>
      </c>
      <c r="Y37" s="50">
        <v>0.3</v>
      </c>
      <c r="Z37" s="49">
        <v>8.4</v>
      </c>
      <c r="AA37" s="66"/>
      <c r="AB37" s="66"/>
      <c r="AC37" s="66"/>
      <c r="AD37" s="66"/>
      <c r="AE37" s="66"/>
      <c r="AF37" s="66"/>
      <c r="AG37" s="66"/>
      <c r="AH37" s="66"/>
      <c r="AI37" s="66"/>
      <c r="AJ37" s="52">
        <f t="shared" si="5"/>
        <v>8.35</v>
      </c>
    </row>
    <row r="38">
      <c r="A38" s="42">
        <v>34.0</v>
      </c>
      <c r="B38" s="44" t="s">
        <v>41</v>
      </c>
      <c r="C38" s="43" t="s">
        <v>7</v>
      </c>
      <c r="D38" s="44" t="s">
        <v>57</v>
      </c>
      <c r="E38" s="44" t="s">
        <v>58</v>
      </c>
      <c r="F38" s="45" t="s">
        <v>8</v>
      </c>
      <c r="G38" s="64"/>
      <c r="H38" s="45" t="s">
        <v>58</v>
      </c>
      <c r="I38" s="65">
        <v>1.0</v>
      </c>
      <c r="J38" s="65">
        <v>1.3</v>
      </c>
      <c r="K38" s="65">
        <v>1.0</v>
      </c>
      <c r="L38" s="65">
        <v>1.5</v>
      </c>
      <c r="M38" s="65">
        <v>1.0</v>
      </c>
      <c r="N38" s="65">
        <v>2.3</v>
      </c>
      <c r="O38" s="65">
        <v>0.5</v>
      </c>
      <c r="P38" s="65">
        <v>0.5</v>
      </c>
      <c r="Q38" s="49">
        <v>9.1</v>
      </c>
      <c r="R38" s="50">
        <v>1.0</v>
      </c>
      <c r="S38" s="50">
        <v>1.5</v>
      </c>
      <c r="T38" s="50">
        <v>1.0</v>
      </c>
      <c r="U38" s="50">
        <v>2.0</v>
      </c>
      <c r="V38" s="50">
        <v>0.8</v>
      </c>
      <c r="W38" s="50">
        <v>2.0</v>
      </c>
      <c r="X38" s="50">
        <v>0.5</v>
      </c>
      <c r="Y38" s="50">
        <v>0.5</v>
      </c>
      <c r="Z38" s="49">
        <v>9.3</v>
      </c>
      <c r="AA38" s="66"/>
      <c r="AB38" s="66"/>
      <c r="AC38" s="66"/>
      <c r="AD38" s="66"/>
      <c r="AE38" s="66"/>
      <c r="AF38" s="66"/>
      <c r="AG38" s="66"/>
      <c r="AH38" s="66"/>
      <c r="AI38" s="66"/>
      <c r="AJ38" s="52">
        <f t="shared" si="5"/>
        <v>9.2</v>
      </c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52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  <c r="AG367" s="64"/>
      <c r="AH367" s="64"/>
      <c r="AI367" s="64"/>
      <c r="AJ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  <c r="AG372" s="64"/>
      <c r="AH372" s="64"/>
      <c r="AI372" s="64"/>
      <c r="AJ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  <c r="AG402" s="64"/>
      <c r="AH402" s="64"/>
      <c r="AI402" s="64"/>
      <c r="AJ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  <c r="AG407" s="64"/>
      <c r="AH407" s="64"/>
      <c r="AI407" s="64"/>
      <c r="AJ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  <c r="AG408" s="64"/>
      <c r="AH408" s="64"/>
      <c r="AI408" s="64"/>
      <c r="AJ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  <c r="AG410" s="64"/>
      <c r="AH410" s="64"/>
      <c r="AI410" s="64"/>
      <c r="AJ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  <c r="AG419" s="64"/>
      <c r="AH419" s="64"/>
      <c r="AI419" s="64"/>
      <c r="AJ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  <c r="AG420" s="64"/>
      <c r="AH420" s="64"/>
      <c r="AI420" s="64"/>
      <c r="AJ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  <c r="AG422" s="64"/>
      <c r="AH422" s="64"/>
      <c r="AI422" s="64"/>
      <c r="AJ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  <c r="AG423" s="64"/>
      <c r="AH423" s="64"/>
      <c r="AI423" s="64"/>
      <c r="AJ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  <c r="AG424" s="64"/>
      <c r="AH424" s="64"/>
      <c r="AI424" s="64"/>
      <c r="AJ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  <c r="AG428" s="64"/>
      <c r="AH428" s="64"/>
      <c r="AI428" s="64"/>
      <c r="AJ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  <c r="AG429" s="64"/>
      <c r="AH429" s="64"/>
      <c r="AI429" s="64"/>
      <c r="AJ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  <c r="AG430" s="64"/>
      <c r="AH430" s="64"/>
      <c r="AI430" s="64"/>
      <c r="AJ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  <c r="AG437" s="64"/>
      <c r="AH437" s="64"/>
      <c r="AI437" s="64"/>
      <c r="AJ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  <c r="AG438" s="64"/>
      <c r="AH438" s="64"/>
      <c r="AI438" s="64"/>
      <c r="AJ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  <c r="AG442" s="64"/>
      <c r="AH442" s="64"/>
      <c r="AI442" s="64"/>
      <c r="AJ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  <c r="AG444" s="64"/>
      <c r="AH444" s="64"/>
      <c r="AI444" s="64"/>
      <c r="AJ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  <c r="AG448" s="64"/>
      <c r="AH448" s="64"/>
      <c r="AI448" s="64"/>
      <c r="AJ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  <c r="AG451" s="64"/>
      <c r="AH451" s="64"/>
      <c r="AI451" s="64"/>
      <c r="AJ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  <c r="AG452" s="64"/>
      <c r="AH452" s="64"/>
      <c r="AI452" s="64"/>
      <c r="AJ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  <c r="AG453" s="64"/>
      <c r="AH453" s="64"/>
      <c r="AI453" s="64"/>
      <c r="AJ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  <c r="AG455" s="64"/>
      <c r="AH455" s="64"/>
      <c r="AI455" s="64"/>
      <c r="AJ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  <c r="AG458" s="64"/>
      <c r="AH458" s="64"/>
      <c r="AI458" s="64"/>
      <c r="AJ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  <c r="AG462" s="64"/>
      <c r="AH462" s="64"/>
      <c r="AI462" s="64"/>
      <c r="AJ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  <c r="AG464" s="64"/>
      <c r="AH464" s="64"/>
      <c r="AI464" s="64"/>
      <c r="AJ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  <c r="AG467" s="64"/>
      <c r="AH467" s="64"/>
      <c r="AI467" s="64"/>
      <c r="AJ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  <c r="AG469" s="64"/>
      <c r="AH469" s="64"/>
      <c r="AI469" s="64"/>
      <c r="AJ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  <c r="AG470" s="64"/>
      <c r="AH470" s="64"/>
      <c r="AI470" s="64"/>
      <c r="AJ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  <c r="AG471" s="64"/>
      <c r="AH471" s="64"/>
      <c r="AI471" s="64"/>
      <c r="AJ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  <c r="AG472" s="64"/>
      <c r="AH472" s="64"/>
      <c r="AI472" s="64"/>
      <c r="AJ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  <c r="AG486" s="64"/>
      <c r="AH486" s="64"/>
      <c r="AI486" s="64"/>
      <c r="AJ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  <c r="AG487" s="64"/>
      <c r="AH487" s="64"/>
      <c r="AI487" s="64"/>
      <c r="AJ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  <c r="AG490" s="64"/>
      <c r="AH490" s="64"/>
      <c r="AI490" s="64"/>
      <c r="AJ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  <c r="AG494" s="64"/>
      <c r="AH494" s="64"/>
      <c r="AI494" s="64"/>
      <c r="AJ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  <c r="AG498" s="64"/>
      <c r="AH498" s="64"/>
      <c r="AI498" s="64"/>
      <c r="AJ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  <c r="AG499" s="64"/>
      <c r="AH499" s="64"/>
      <c r="AI499" s="64"/>
      <c r="AJ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  <c r="AG501" s="64"/>
      <c r="AH501" s="64"/>
      <c r="AI501" s="64"/>
      <c r="AJ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  <c r="AG502" s="64"/>
      <c r="AH502" s="64"/>
      <c r="AI502" s="64"/>
      <c r="AJ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  <c r="AG503" s="64"/>
      <c r="AH503" s="64"/>
      <c r="AI503" s="64"/>
      <c r="AJ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  <c r="AG504" s="64"/>
      <c r="AH504" s="64"/>
      <c r="AI504" s="64"/>
      <c r="AJ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  <c r="AG505" s="64"/>
      <c r="AH505" s="64"/>
      <c r="AI505" s="64"/>
      <c r="AJ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  <c r="AG506" s="64"/>
      <c r="AH506" s="64"/>
      <c r="AI506" s="64"/>
      <c r="AJ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  <c r="AG507" s="64"/>
      <c r="AH507" s="64"/>
      <c r="AI507" s="64"/>
      <c r="AJ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  <c r="AG508" s="64"/>
      <c r="AH508" s="64"/>
      <c r="AI508" s="64"/>
      <c r="AJ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  <c r="AG509" s="64"/>
      <c r="AH509" s="64"/>
      <c r="AI509" s="64"/>
      <c r="AJ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  <c r="AG510" s="64"/>
      <c r="AH510" s="64"/>
      <c r="AI510" s="64"/>
      <c r="AJ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  <c r="AG511" s="64"/>
      <c r="AH511" s="64"/>
      <c r="AI511" s="64"/>
      <c r="AJ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  <c r="AG512" s="64"/>
      <c r="AH512" s="64"/>
      <c r="AI512" s="64"/>
      <c r="AJ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  <c r="AG513" s="64"/>
      <c r="AH513" s="64"/>
      <c r="AI513" s="64"/>
      <c r="AJ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  <c r="AG514" s="64"/>
      <c r="AH514" s="64"/>
      <c r="AI514" s="64"/>
      <c r="AJ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  <c r="AG515" s="64"/>
      <c r="AH515" s="64"/>
      <c r="AI515" s="64"/>
      <c r="AJ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  <c r="AG516" s="64"/>
      <c r="AH516" s="64"/>
      <c r="AI516" s="64"/>
      <c r="AJ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  <c r="AG518" s="64"/>
      <c r="AH518" s="64"/>
      <c r="AI518" s="64"/>
      <c r="AJ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  <c r="AG519" s="64"/>
      <c r="AH519" s="64"/>
      <c r="AI519" s="64"/>
      <c r="AJ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  <c r="AG520" s="64"/>
      <c r="AH520" s="64"/>
      <c r="AI520" s="64"/>
      <c r="AJ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  <c r="AG521" s="64"/>
      <c r="AH521" s="64"/>
      <c r="AI521" s="64"/>
      <c r="AJ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  <c r="AG522" s="64"/>
      <c r="AH522" s="64"/>
      <c r="AI522" s="64"/>
      <c r="AJ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  <c r="AG523" s="64"/>
      <c r="AH523" s="64"/>
      <c r="AI523" s="64"/>
      <c r="AJ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  <c r="AG524" s="64"/>
      <c r="AH524" s="64"/>
      <c r="AI524" s="64"/>
      <c r="AJ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  <c r="AG525" s="64"/>
      <c r="AH525" s="64"/>
      <c r="AI525" s="64"/>
      <c r="AJ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  <c r="AG526" s="64"/>
      <c r="AH526" s="64"/>
      <c r="AI526" s="64"/>
      <c r="AJ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  <c r="AG527" s="64"/>
      <c r="AH527" s="64"/>
      <c r="AI527" s="64"/>
      <c r="AJ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  <c r="AG528" s="64"/>
      <c r="AH528" s="64"/>
      <c r="AI528" s="64"/>
      <c r="AJ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  <c r="AG529" s="64"/>
      <c r="AH529" s="64"/>
      <c r="AI529" s="64"/>
      <c r="AJ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  <c r="AG530" s="64"/>
      <c r="AH530" s="64"/>
      <c r="AI530" s="64"/>
      <c r="AJ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  <c r="AG531" s="64"/>
      <c r="AH531" s="64"/>
      <c r="AI531" s="64"/>
      <c r="AJ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  <c r="AG532" s="64"/>
      <c r="AH532" s="64"/>
      <c r="AI532" s="64"/>
      <c r="AJ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  <c r="AG533" s="64"/>
      <c r="AH533" s="64"/>
      <c r="AI533" s="64"/>
      <c r="AJ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  <c r="AG535" s="64"/>
      <c r="AH535" s="64"/>
      <c r="AI535" s="64"/>
      <c r="AJ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  <c r="AG536" s="64"/>
      <c r="AH536" s="64"/>
      <c r="AI536" s="64"/>
      <c r="AJ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  <c r="AG537" s="64"/>
      <c r="AH537" s="64"/>
      <c r="AI537" s="64"/>
      <c r="AJ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  <c r="AG538" s="64"/>
      <c r="AH538" s="64"/>
      <c r="AI538" s="64"/>
      <c r="AJ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  <c r="AG539" s="64"/>
      <c r="AH539" s="64"/>
      <c r="AI539" s="64"/>
      <c r="AJ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  <c r="AG540" s="64"/>
      <c r="AH540" s="64"/>
      <c r="AI540" s="64"/>
      <c r="AJ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  <c r="AG541" s="64"/>
      <c r="AH541" s="64"/>
      <c r="AI541" s="64"/>
      <c r="AJ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  <c r="AG542" s="64"/>
      <c r="AH542" s="64"/>
      <c r="AI542" s="64"/>
      <c r="AJ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  <c r="AG543" s="64"/>
      <c r="AH543" s="64"/>
      <c r="AI543" s="64"/>
      <c r="AJ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  <c r="AG544" s="64"/>
      <c r="AH544" s="64"/>
      <c r="AI544" s="64"/>
      <c r="AJ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  <c r="AG545" s="64"/>
      <c r="AH545" s="64"/>
      <c r="AI545" s="64"/>
      <c r="AJ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  <c r="AG546" s="64"/>
      <c r="AH546" s="64"/>
      <c r="AI546" s="64"/>
      <c r="AJ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  <c r="AG547" s="64"/>
      <c r="AH547" s="64"/>
      <c r="AI547" s="64"/>
      <c r="AJ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  <c r="AG548" s="64"/>
      <c r="AH548" s="64"/>
      <c r="AI548" s="64"/>
      <c r="AJ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  <c r="AG549" s="64"/>
      <c r="AH549" s="64"/>
      <c r="AI549" s="64"/>
      <c r="AJ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  <c r="AG550" s="64"/>
      <c r="AH550" s="64"/>
      <c r="AI550" s="64"/>
      <c r="AJ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  <c r="AG552" s="64"/>
      <c r="AH552" s="64"/>
      <c r="AI552" s="64"/>
      <c r="AJ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  <c r="AG553" s="64"/>
      <c r="AH553" s="64"/>
      <c r="AI553" s="64"/>
      <c r="AJ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  <c r="AG554" s="64"/>
      <c r="AH554" s="64"/>
      <c r="AI554" s="64"/>
      <c r="AJ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  <c r="AG555" s="64"/>
      <c r="AH555" s="64"/>
      <c r="AI555" s="64"/>
      <c r="AJ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  <c r="AG556" s="64"/>
      <c r="AH556" s="64"/>
      <c r="AI556" s="64"/>
      <c r="AJ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  <c r="AG557" s="64"/>
      <c r="AH557" s="64"/>
      <c r="AI557" s="64"/>
      <c r="AJ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  <c r="AG558" s="64"/>
      <c r="AH558" s="64"/>
      <c r="AI558" s="64"/>
      <c r="AJ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  <c r="AG559" s="64"/>
      <c r="AH559" s="64"/>
      <c r="AI559" s="64"/>
      <c r="AJ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  <c r="AG560" s="64"/>
      <c r="AH560" s="64"/>
      <c r="AI560" s="64"/>
      <c r="AJ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  <c r="AG561" s="64"/>
      <c r="AH561" s="64"/>
      <c r="AI561" s="64"/>
      <c r="AJ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  <c r="AG562" s="64"/>
      <c r="AH562" s="64"/>
      <c r="AI562" s="64"/>
      <c r="AJ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  <c r="AG563" s="64"/>
      <c r="AH563" s="64"/>
      <c r="AI563" s="64"/>
      <c r="AJ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  <c r="AG564" s="64"/>
      <c r="AH564" s="64"/>
      <c r="AI564" s="64"/>
      <c r="AJ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  <c r="AG565" s="64"/>
      <c r="AH565" s="64"/>
      <c r="AI565" s="64"/>
      <c r="AJ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  <c r="AG566" s="64"/>
      <c r="AH566" s="64"/>
      <c r="AI566" s="64"/>
      <c r="AJ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  <c r="AG567" s="64"/>
      <c r="AH567" s="64"/>
      <c r="AI567" s="64"/>
      <c r="AJ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  <c r="AG569" s="64"/>
      <c r="AH569" s="64"/>
      <c r="AI569" s="64"/>
      <c r="AJ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  <c r="AG570" s="64"/>
      <c r="AH570" s="64"/>
      <c r="AI570" s="64"/>
      <c r="AJ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  <c r="AG571" s="64"/>
      <c r="AH571" s="64"/>
      <c r="AI571" s="64"/>
      <c r="AJ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  <c r="AG572" s="64"/>
      <c r="AH572" s="64"/>
      <c r="AI572" s="64"/>
      <c r="AJ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  <c r="AG573" s="64"/>
      <c r="AH573" s="64"/>
      <c r="AI573" s="64"/>
      <c r="AJ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  <c r="AG574" s="64"/>
      <c r="AH574" s="64"/>
      <c r="AI574" s="64"/>
      <c r="AJ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  <c r="AG575" s="64"/>
      <c r="AH575" s="64"/>
      <c r="AI575" s="64"/>
      <c r="AJ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  <c r="AG576" s="64"/>
      <c r="AH576" s="64"/>
      <c r="AI576" s="64"/>
      <c r="AJ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  <c r="AG577" s="64"/>
      <c r="AH577" s="64"/>
      <c r="AI577" s="64"/>
      <c r="AJ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  <c r="AG578" s="64"/>
      <c r="AH578" s="64"/>
      <c r="AI578" s="64"/>
      <c r="AJ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  <c r="AG579" s="64"/>
      <c r="AH579" s="64"/>
      <c r="AI579" s="64"/>
      <c r="AJ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  <c r="AG580" s="64"/>
      <c r="AH580" s="64"/>
      <c r="AI580" s="64"/>
      <c r="AJ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  <c r="AG581" s="64"/>
      <c r="AH581" s="64"/>
      <c r="AI581" s="64"/>
      <c r="AJ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  <c r="AG582" s="64"/>
      <c r="AH582" s="64"/>
      <c r="AI582" s="64"/>
      <c r="AJ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  <c r="AG583" s="64"/>
      <c r="AH583" s="64"/>
      <c r="AI583" s="64"/>
      <c r="AJ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  <c r="AG584" s="64"/>
      <c r="AH584" s="64"/>
      <c r="AI584" s="64"/>
      <c r="AJ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  <c r="AG586" s="64"/>
      <c r="AH586" s="64"/>
      <c r="AI586" s="64"/>
      <c r="AJ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  <c r="AG587" s="64"/>
      <c r="AH587" s="64"/>
      <c r="AI587" s="64"/>
      <c r="AJ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  <c r="AG588" s="64"/>
      <c r="AH588" s="64"/>
      <c r="AI588" s="64"/>
      <c r="AJ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  <c r="AG589" s="64"/>
      <c r="AH589" s="64"/>
      <c r="AI589" s="64"/>
      <c r="AJ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  <c r="AG590" s="64"/>
      <c r="AH590" s="64"/>
      <c r="AI590" s="64"/>
      <c r="AJ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  <c r="AG591" s="64"/>
      <c r="AH591" s="64"/>
      <c r="AI591" s="64"/>
      <c r="AJ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  <c r="AG592" s="64"/>
      <c r="AH592" s="64"/>
      <c r="AI592" s="64"/>
      <c r="AJ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  <c r="AG593" s="64"/>
      <c r="AH593" s="64"/>
      <c r="AI593" s="64"/>
      <c r="AJ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  <c r="AG594" s="64"/>
      <c r="AH594" s="64"/>
      <c r="AI594" s="64"/>
      <c r="AJ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  <c r="AG595" s="64"/>
      <c r="AH595" s="64"/>
      <c r="AI595" s="64"/>
      <c r="AJ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  <c r="AG596" s="64"/>
      <c r="AH596" s="64"/>
      <c r="AI596" s="64"/>
      <c r="AJ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  <c r="AG597" s="64"/>
      <c r="AH597" s="64"/>
      <c r="AI597" s="64"/>
      <c r="AJ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  <c r="AG598" s="64"/>
      <c r="AH598" s="64"/>
      <c r="AI598" s="64"/>
      <c r="AJ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  <c r="AG599" s="64"/>
      <c r="AH599" s="64"/>
      <c r="AI599" s="64"/>
      <c r="AJ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  <c r="AG600" s="64"/>
      <c r="AH600" s="64"/>
      <c r="AI600" s="64"/>
      <c r="AJ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  <c r="AG601" s="64"/>
      <c r="AH601" s="64"/>
      <c r="AI601" s="64"/>
      <c r="AJ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  <c r="AG603" s="64"/>
      <c r="AH603" s="64"/>
      <c r="AI603" s="64"/>
      <c r="AJ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  <c r="AG604" s="64"/>
      <c r="AH604" s="64"/>
      <c r="AI604" s="64"/>
      <c r="AJ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  <c r="AG605" s="64"/>
      <c r="AH605" s="64"/>
      <c r="AI605" s="64"/>
      <c r="AJ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  <c r="AG606" s="64"/>
      <c r="AH606" s="64"/>
      <c r="AI606" s="64"/>
      <c r="AJ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  <c r="AG611" s="64"/>
      <c r="AH611" s="64"/>
      <c r="AI611" s="64"/>
      <c r="AJ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  <c r="AG612" s="64"/>
      <c r="AH612" s="64"/>
      <c r="AI612" s="64"/>
      <c r="AJ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  <c r="AG613" s="64"/>
      <c r="AH613" s="64"/>
      <c r="AI613" s="64"/>
      <c r="AJ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  <c r="AG614" s="64"/>
      <c r="AH614" s="64"/>
      <c r="AI614" s="64"/>
      <c r="AJ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  <c r="AG615" s="64"/>
      <c r="AH615" s="64"/>
      <c r="AI615" s="64"/>
      <c r="AJ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  <c r="AG616" s="64"/>
      <c r="AH616" s="64"/>
      <c r="AI616" s="64"/>
      <c r="AJ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  <c r="AG617" s="64"/>
      <c r="AH617" s="64"/>
      <c r="AI617" s="64"/>
      <c r="AJ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  <c r="AG618" s="64"/>
      <c r="AH618" s="64"/>
      <c r="AI618" s="64"/>
      <c r="AJ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  <c r="AG620" s="64"/>
      <c r="AH620" s="64"/>
      <c r="AI620" s="64"/>
      <c r="AJ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  <c r="AG621" s="64"/>
      <c r="AH621" s="64"/>
      <c r="AI621" s="64"/>
      <c r="AJ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  <c r="AG622" s="64"/>
      <c r="AH622" s="64"/>
      <c r="AI622" s="64"/>
      <c r="AJ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  <c r="AG623" s="64"/>
      <c r="AH623" s="64"/>
      <c r="AI623" s="64"/>
      <c r="AJ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  <c r="AG624" s="64"/>
      <c r="AH624" s="64"/>
      <c r="AI624" s="64"/>
      <c r="AJ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  <c r="AG625" s="64"/>
      <c r="AH625" s="64"/>
      <c r="AI625" s="64"/>
      <c r="AJ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  <c r="AG626" s="64"/>
      <c r="AH626" s="64"/>
      <c r="AI626" s="64"/>
      <c r="AJ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  <c r="AG627" s="64"/>
      <c r="AH627" s="64"/>
      <c r="AI627" s="64"/>
      <c r="AJ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  <c r="AG628" s="64"/>
      <c r="AH628" s="64"/>
      <c r="AI628" s="64"/>
      <c r="AJ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  <c r="AG629" s="64"/>
      <c r="AH629" s="64"/>
      <c r="AI629" s="64"/>
      <c r="AJ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  <c r="AG631" s="64"/>
      <c r="AH631" s="64"/>
      <c r="AI631" s="64"/>
      <c r="AJ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  <c r="AG632" s="64"/>
      <c r="AH632" s="64"/>
      <c r="AI632" s="64"/>
      <c r="AJ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  <c r="AG633" s="64"/>
      <c r="AH633" s="64"/>
      <c r="AI633" s="64"/>
      <c r="AJ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  <c r="AG634" s="64"/>
      <c r="AH634" s="64"/>
      <c r="AI634" s="64"/>
      <c r="AJ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  <c r="AG635" s="64"/>
      <c r="AH635" s="64"/>
      <c r="AI635" s="64"/>
      <c r="AJ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  <c r="AG636" s="64"/>
      <c r="AH636" s="64"/>
      <c r="AI636" s="64"/>
      <c r="AJ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  <c r="AG637" s="64"/>
      <c r="AH637" s="64"/>
      <c r="AI637" s="64"/>
      <c r="AJ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  <c r="AG638" s="64"/>
      <c r="AH638" s="64"/>
      <c r="AI638" s="64"/>
      <c r="AJ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  <c r="AG639" s="64"/>
      <c r="AH639" s="64"/>
      <c r="AI639" s="64"/>
      <c r="AJ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  <c r="AG640" s="64"/>
      <c r="AH640" s="64"/>
      <c r="AI640" s="64"/>
      <c r="AJ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  <c r="AG641" s="64"/>
      <c r="AH641" s="64"/>
      <c r="AI641" s="64"/>
      <c r="AJ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  <c r="AG642" s="64"/>
      <c r="AH642" s="64"/>
      <c r="AI642" s="64"/>
      <c r="AJ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  <c r="AG643" s="64"/>
      <c r="AH643" s="64"/>
      <c r="AI643" s="64"/>
      <c r="AJ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  <c r="AG644" s="64"/>
      <c r="AH644" s="64"/>
      <c r="AI644" s="64"/>
      <c r="AJ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  <c r="AG645" s="64"/>
      <c r="AH645" s="64"/>
      <c r="AI645" s="64"/>
      <c r="AJ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  <c r="AG646" s="64"/>
      <c r="AH646" s="64"/>
      <c r="AI646" s="64"/>
      <c r="AJ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  <c r="AG647" s="64"/>
      <c r="AH647" s="64"/>
      <c r="AI647" s="64"/>
      <c r="AJ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  <c r="AG648" s="64"/>
      <c r="AH648" s="64"/>
      <c r="AI648" s="64"/>
      <c r="AJ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  <c r="AG649" s="64"/>
      <c r="AH649" s="64"/>
      <c r="AI649" s="64"/>
      <c r="AJ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  <c r="AG650" s="64"/>
      <c r="AH650" s="64"/>
      <c r="AI650" s="64"/>
      <c r="AJ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  <c r="AG651" s="64"/>
      <c r="AH651" s="64"/>
      <c r="AI651" s="64"/>
      <c r="AJ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  <c r="AG652" s="64"/>
      <c r="AH652" s="64"/>
      <c r="AI652" s="64"/>
      <c r="AJ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  <c r="AG654" s="64"/>
      <c r="AH654" s="64"/>
      <c r="AI654" s="64"/>
      <c r="AJ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  <c r="AG655" s="64"/>
      <c r="AH655" s="64"/>
      <c r="AI655" s="64"/>
      <c r="AJ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  <c r="AG656" s="64"/>
      <c r="AH656" s="64"/>
      <c r="AI656" s="64"/>
      <c r="AJ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  <c r="AG657" s="64"/>
      <c r="AH657" s="64"/>
      <c r="AI657" s="64"/>
      <c r="AJ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  <c r="AG658" s="64"/>
      <c r="AH658" s="64"/>
      <c r="AI658" s="64"/>
      <c r="AJ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  <c r="AG659" s="64"/>
      <c r="AH659" s="64"/>
      <c r="AI659" s="64"/>
      <c r="AJ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  <c r="AG660" s="64"/>
      <c r="AH660" s="64"/>
      <c r="AI660" s="64"/>
      <c r="AJ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  <c r="AG661" s="64"/>
      <c r="AH661" s="64"/>
      <c r="AI661" s="64"/>
      <c r="AJ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  <c r="AG662" s="64"/>
      <c r="AH662" s="64"/>
      <c r="AI662" s="64"/>
      <c r="AJ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  <c r="AG663" s="64"/>
      <c r="AH663" s="64"/>
      <c r="AI663" s="64"/>
      <c r="AJ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  <c r="AG664" s="64"/>
      <c r="AH664" s="64"/>
      <c r="AI664" s="64"/>
      <c r="AJ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  <c r="AG665" s="64"/>
      <c r="AH665" s="64"/>
      <c r="AI665" s="64"/>
      <c r="AJ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  <c r="AG666" s="64"/>
      <c r="AH666" s="64"/>
      <c r="AI666" s="64"/>
      <c r="AJ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  <c r="AG667" s="64"/>
      <c r="AH667" s="64"/>
      <c r="AI667" s="64"/>
      <c r="AJ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  <c r="AG668" s="64"/>
      <c r="AH668" s="64"/>
      <c r="AI668" s="64"/>
      <c r="AJ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  <c r="AG669" s="64"/>
      <c r="AH669" s="64"/>
      <c r="AI669" s="64"/>
      <c r="AJ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  <c r="AG670" s="64"/>
      <c r="AH670" s="64"/>
      <c r="AI670" s="64"/>
      <c r="AJ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  <c r="AG671" s="64"/>
      <c r="AH671" s="64"/>
      <c r="AI671" s="64"/>
      <c r="AJ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  <c r="AG672" s="64"/>
      <c r="AH672" s="64"/>
      <c r="AI672" s="64"/>
      <c r="AJ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  <c r="AG673" s="64"/>
      <c r="AH673" s="64"/>
      <c r="AI673" s="64"/>
      <c r="AJ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  <c r="AG674" s="64"/>
      <c r="AH674" s="64"/>
      <c r="AI674" s="64"/>
      <c r="AJ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  <c r="AG675" s="64"/>
      <c r="AH675" s="64"/>
      <c r="AI675" s="64"/>
      <c r="AJ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  <c r="AG676" s="64"/>
      <c r="AH676" s="64"/>
      <c r="AI676" s="64"/>
      <c r="AJ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  <c r="AG677" s="64"/>
      <c r="AH677" s="64"/>
      <c r="AI677" s="64"/>
      <c r="AJ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  <c r="AG678" s="64"/>
      <c r="AH678" s="64"/>
      <c r="AI678" s="64"/>
      <c r="AJ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  <c r="AG679" s="64"/>
      <c r="AH679" s="64"/>
      <c r="AI679" s="64"/>
      <c r="AJ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  <c r="AG680" s="64"/>
      <c r="AH680" s="64"/>
      <c r="AI680" s="64"/>
      <c r="AJ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  <c r="AG681" s="64"/>
      <c r="AH681" s="64"/>
      <c r="AI681" s="64"/>
      <c r="AJ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  <c r="AG682" s="64"/>
      <c r="AH682" s="64"/>
      <c r="AI682" s="64"/>
      <c r="AJ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  <c r="AG683" s="64"/>
      <c r="AH683" s="64"/>
      <c r="AI683" s="64"/>
      <c r="AJ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  <c r="AG684" s="64"/>
      <c r="AH684" s="64"/>
      <c r="AI684" s="64"/>
      <c r="AJ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  <c r="AG685" s="64"/>
      <c r="AH685" s="64"/>
      <c r="AI685" s="64"/>
      <c r="AJ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  <c r="AG686" s="64"/>
      <c r="AH686" s="64"/>
      <c r="AI686" s="64"/>
      <c r="AJ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  <c r="AG687" s="64"/>
      <c r="AH687" s="64"/>
      <c r="AI687" s="64"/>
      <c r="AJ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  <c r="AG688" s="64"/>
      <c r="AH688" s="64"/>
      <c r="AI688" s="64"/>
      <c r="AJ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  <c r="AG689" s="64"/>
      <c r="AH689" s="64"/>
      <c r="AI689" s="64"/>
      <c r="AJ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  <c r="AG690" s="64"/>
      <c r="AH690" s="64"/>
      <c r="AI690" s="64"/>
      <c r="AJ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  <c r="AG691" s="64"/>
      <c r="AH691" s="64"/>
      <c r="AI691" s="64"/>
      <c r="AJ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  <c r="AG692" s="64"/>
      <c r="AH692" s="64"/>
      <c r="AI692" s="64"/>
      <c r="AJ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  <c r="AG693" s="64"/>
      <c r="AH693" s="64"/>
      <c r="AI693" s="64"/>
      <c r="AJ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  <c r="AG694" s="64"/>
      <c r="AH694" s="64"/>
      <c r="AI694" s="64"/>
      <c r="AJ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  <c r="AG695" s="64"/>
      <c r="AH695" s="64"/>
      <c r="AI695" s="64"/>
      <c r="AJ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  <c r="AG696" s="64"/>
      <c r="AH696" s="64"/>
      <c r="AI696" s="64"/>
      <c r="AJ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  <c r="AG697" s="64"/>
      <c r="AH697" s="64"/>
      <c r="AI697" s="64"/>
      <c r="AJ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  <c r="AG698" s="64"/>
      <c r="AH698" s="64"/>
      <c r="AI698" s="64"/>
      <c r="AJ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  <c r="AG699" s="64"/>
      <c r="AH699" s="64"/>
      <c r="AI699" s="64"/>
      <c r="AJ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  <c r="AG700" s="64"/>
      <c r="AH700" s="64"/>
      <c r="AI700" s="64"/>
      <c r="AJ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  <c r="AG701" s="64"/>
      <c r="AH701" s="64"/>
      <c r="AI701" s="64"/>
      <c r="AJ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  <c r="AG702" s="64"/>
      <c r="AH702" s="64"/>
      <c r="AI702" s="64"/>
      <c r="AJ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  <c r="AG703" s="64"/>
      <c r="AH703" s="64"/>
      <c r="AI703" s="64"/>
      <c r="AJ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  <c r="AG704" s="64"/>
      <c r="AH704" s="64"/>
      <c r="AI704" s="64"/>
      <c r="AJ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  <c r="AG705" s="64"/>
      <c r="AH705" s="64"/>
      <c r="AI705" s="64"/>
      <c r="AJ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  <c r="AG706" s="64"/>
      <c r="AH706" s="64"/>
      <c r="AI706" s="64"/>
      <c r="AJ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  <c r="AG707" s="64"/>
      <c r="AH707" s="64"/>
      <c r="AI707" s="64"/>
      <c r="AJ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  <c r="AG708" s="64"/>
      <c r="AH708" s="64"/>
      <c r="AI708" s="64"/>
      <c r="AJ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  <c r="AG709" s="64"/>
      <c r="AH709" s="64"/>
      <c r="AI709" s="64"/>
      <c r="AJ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  <c r="AG710" s="64"/>
      <c r="AH710" s="64"/>
      <c r="AI710" s="64"/>
      <c r="AJ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  <c r="AG711" s="64"/>
      <c r="AH711" s="64"/>
      <c r="AI711" s="64"/>
      <c r="AJ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  <c r="AG712" s="64"/>
      <c r="AH712" s="64"/>
      <c r="AI712" s="64"/>
      <c r="AJ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  <c r="AG713" s="64"/>
      <c r="AH713" s="64"/>
      <c r="AI713" s="64"/>
      <c r="AJ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  <c r="AG714" s="64"/>
      <c r="AH714" s="64"/>
      <c r="AI714" s="64"/>
      <c r="AJ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  <c r="AG715" s="64"/>
      <c r="AH715" s="64"/>
      <c r="AI715" s="64"/>
      <c r="AJ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  <c r="AG716" s="64"/>
      <c r="AH716" s="64"/>
      <c r="AI716" s="64"/>
      <c r="AJ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  <c r="AG717" s="64"/>
      <c r="AH717" s="64"/>
      <c r="AI717" s="64"/>
      <c r="AJ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  <c r="AG718" s="64"/>
      <c r="AH718" s="64"/>
      <c r="AI718" s="64"/>
      <c r="AJ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  <c r="AG719" s="64"/>
      <c r="AH719" s="64"/>
      <c r="AI719" s="64"/>
      <c r="AJ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  <c r="AG720" s="64"/>
      <c r="AH720" s="64"/>
      <c r="AI720" s="64"/>
      <c r="AJ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  <c r="AG721" s="64"/>
      <c r="AH721" s="64"/>
      <c r="AI721" s="64"/>
      <c r="AJ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  <c r="AG722" s="64"/>
      <c r="AH722" s="64"/>
      <c r="AI722" s="64"/>
      <c r="AJ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  <c r="AG723" s="64"/>
      <c r="AH723" s="64"/>
      <c r="AI723" s="64"/>
      <c r="AJ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  <c r="AG724" s="64"/>
      <c r="AH724" s="64"/>
      <c r="AI724" s="64"/>
      <c r="AJ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  <c r="AG725" s="64"/>
      <c r="AH725" s="64"/>
      <c r="AI725" s="64"/>
      <c r="AJ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  <c r="AG726" s="64"/>
      <c r="AH726" s="64"/>
      <c r="AI726" s="64"/>
      <c r="AJ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  <c r="AG727" s="64"/>
      <c r="AH727" s="64"/>
      <c r="AI727" s="64"/>
      <c r="AJ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  <c r="AG728" s="64"/>
      <c r="AH728" s="64"/>
      <c r="AI728" s="64"/>
      <c r="AJ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  <c r="AG729" s="64"/>
      <c r="AH729" s="64"/>
      <c r="AI729" s="64"/>
      <c r="AJ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  <c r="AG730" s="64"/>
      <c r="AH730" s="64"/>
      <c r="AI730" s="64"/>
      <c r="AJ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  <c r="AG731" s="64"/>
      <c r="AH731" s="64"/>
      <c r="AI731" s="64"/>
      <c r="AJ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  <c r="AG732" s="64"/>
      <c r="AH732" s="64"/>
      <c r="AI732" s="64"/>
      <c r="AJ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  <c r="AG733" s="64"/>
      <c r="AH733" s="64"/>
      <c r="AI733" s="64"/>
      <c r="AJ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  <c r="AG734" s="64"/>
      <c r="AH734" s="64"/>
      <c r="AI734" s="64"/>
      <c r="AJ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  <c r="AG735" s="64"/>
      <c r="AH735" s="64"/>
      <c r="AI735" s="64"/>
      <c r="AJ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  <c r="AG736" s="64"/>
      <c r="AH736" s="64"/>
      <c r="AI736" s="64"/>
      <c r="AJ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  <c r="AG737" s="64"/>
      <c r="AH737" s="64"/>
      <c r="AI737" s="64"/>
      <c r="AJ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  <c r="AG738" s="64"/>
      <c r="AH738" s="64"/>
      <c r="AI738" s="64"/>
      <c r="AJ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  <c r="AG739" s="64"/>
      <c r="AH739" s="64"/>
      <c r="AI739" s="64"/>
      <c r="AJ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  <c r="AG740" s="64"/>
      <c r="AH740" s="64"/>
      <c r="AI740" s="64"/>
      <c r="AJ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  <c r="AG741" s="64"/>
      <c r="AH741" s="64"/>
      <c r="AI741" s="64"/>
      <c r="AJ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  <c r="AG742" s="64"/>
      <c r="AH742" s="64"/>
      <c r="AI742" s="64"/>
      <c r="AJ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  <c r="AG743" s="64"/>
      <c r="AH743" s="64"/>
      <c r="AI743" s="64"/>
      <c r="AJ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  <c r="AG744" s="64"/>
      <c r="AH744" s="64"/>
      <c r="AI744" s="64"/>
      <c r="AJ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  <c r="AG745" s="64"/>
      <c r="AH745" s="64"/>
      <c r="AI745" s="64"/>
      <c r="AJ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  <c r="AG746" s="64"/>
      <c r="AH746" s="64"/>
      <c r="AI746" s="64"/>
      <c r="AJ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  <c r="AG747" s="64"/>
      <c r="AH747" s="64"/>
      <c r="AI747" s="64"/>
      <c r="AJ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  <c r="AG748" s="64"/>
      <c r="AH748" s="64"/>
      <c r="AI748" s="64"/>
      <c r="AJ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  <c r="AG749" s="64"/>
      <c r="AH749" s="64"/>
      <c r="AI749" s="64"/>
      <c r="AJ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  <c r="AG750" s="64"/>
      <c r="AH750" s="64"/>
      <c r="AI750" s="64"/>
      <c r="AJ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  <c r="AG751" s="64"/>
      <c r="AH751" s="64"/>
      <c r="AI751" s="64"/>
      <c r="AJ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  <c r="AG752" s="64"/>
      <c r="AH752" s="64"/>
      <c r="AI752" s="64"/>
      <c r="AJ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  <c r="AG753" s="64"/>
      <c r="AH753" s="64"/>
      <c r="AI753" s="64"/>
      <c r="AJ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  <c r="AG754" s="64"/>
      <c r="AH754" s="64"/>
      <c r="AI754" s="64"/>
      <c r="AJ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  <c r="AG755" s="64"/>
      <c r="AH755" s="64"/>
      <c r="AI755" s="64"/>
      <c r="AJ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  <c r="AG756" s="64"/>
      <c r="AH756" s="64"/>
      <c r="AI756" s="64"/>
      <c r="AJ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  <c r="AG757" s="64"/>
      <c r="AH757" s="64"/>
      <c r="AI757" s="64"/>
      <c r="AJ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  <c r="AG758" s="64"/>
      <c r="AH758" s="64"/>
      <c r="AI758" s="64"/>
      <c r="AJ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  <c r="AG759" s="64"/>
      <c r="AH759" s="64"/>
      <c r="AI759" s="64"/>
      <c r="AJ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  <c r="AG760" s="64"/>
      <c r="AH760" s="64"/>
      <c r="AI760" s="64"/>
      <c r="AJ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  <c r="AG761" s="64"/>
      <c r="AH761" s="64"/>
      <c r="AI761" s="64"/>
      <c r="AJ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  <c r="AG762" s="64"/>
      <c r="AH762" s="64"/>
      <c r="AI762" s="64"/>
      <c r="AJ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  <c r="AG763" s="64"/>
      <c r="AH763" s="64"/>
      <c r="AI763" s="64"/>
      <c r="AJ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  <c r="AG764" s="64"/>
      <c r="AH764" s="64"/>
      <c r="AI764" s="64"/>
      <c r="AJ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  <c r="AG765" s="64"/>
      <c r="AH765" s="64"/>
      <c r="AI765" s="64"/>
      <c r="AJ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  <c r="AG766" s="64"/>
      <c r="AH766" s="64"/>
      <c r="AI766" s="64"/>
      <c r="AJ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  <c r="AG767" s="64"/>
      <c r="AH767" s="64"/>
      <c r="AI767" s="64"/>
      <c r="AJ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  <c r="AG768" s="64"/>
      <c r="AH768" s="64"/>
      <c r="AI768" s="64"/>
      <c r="AJ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  <c r="AG769" s="64"/>
      <c r="AH769" s="64"/>
      <c r="AI769" s="64"/>
      <c r="AJ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  <c r="AG770" s="64"/>
      <c r="AH770" s="64"/>
      <c r="AI770" s="64"/>
      <c r="AJ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  <c r="AG771" s="64"/>
      <c r="AH771" s="64"/>
      <c r="AI771" s="64"/>
      <c r="AJ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  <c r="AG772" s="64"/>
      <c r="AH772" s="64"/>
      <c r="AI772" s="64"/>
      <c r="AJ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  <c r="AG773" s="64"/>
      <c r="AH773" s="64"/>
      <c r="AI773" s="64"/>
      <c r="AJ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  <c r="AG774" s="64"/>
      <c r="AH774" s="64"/>
      <c r="AI774" s="64"/>
      <c r="AJ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  <c r="AG775" s="64"/>
      <c r="AH775" s="64"/>
      <c r="AI775" s="64"/>
      <c r="AJ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  <c r="AG776" s="64"/>
      <c r="AH776" s="64"/>
      <c r="AI776" s="64"/>
      <c r="AJ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  <c r="AG777" s="64"/>
      <c r="AH777" s="64"/>
      <c r="AI777" s="64"/>
      <c r="AJ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  <c r="AG778" s="64"/>
      <c r="AH778" s="64"/>
      <c r="AI778" s="64"/>
      <c r="AJ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  <c r="AG779" s="64"/>
      <c r="AH779" s="64"/>
      <c r="AI779" s="64"/>
      <c r="AJ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  <c r="AG780" s="64"/>
      <c r="AH780" s="64"/>
      <c r="AI780" s="64"/>
      <c r="AJ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  <c r="AG781" s="64"/>
      <c r="AH781" s="64"/>
      <c r="AI781" s="64"/>
      <c r="AJ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  <c r="AG782" s="64"/>
      <c r="AH782" s="64"/>
      <c r="AI782" s="64"/>
      <c r="AJ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  <c r="AG783" s="64"/>
      <c r="AH783" s="64"/>
      <c r="AI783" s="64"/>
      <c r="AJ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  <c r="AG784" s="64"/>
      <c r="AH784" s="64"/>
      <c r="AI784" s="64"/>
      <c r="AJ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  <c r="AG785" s="64"/>
      <c r="AH785" s="64"/>
      <c r="AI785" s="64"/>
      <c r="AJ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  <c r="AG786" s="64"/>
      <c r="AH786" s="64"/>
      <c r="AI786" s="64"/>
      <c r="AJ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  <c r="AG787" s="64"/>
      <c r="AH787" s="64"/>
      <c r="AI787" s="64"/>
      <c r="AJ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  <c r="AG788" s="64"/>
      <c r="AH788" s="64"/>
      <c r="AI788" s="64"/>
      <c r="AJ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  <c r="AG789" s="64"/>
      <c r="AH789" s="64"/>
      <c r="AI789" s="64"/>
      <c r="AJ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  <c r="AG790" s="64"/>
      <c r="AH790" s="64"/>
      <c r="AI790" s="64"/>
      <c r="AJ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  <c r="AG791" s="64"/>
      <c r="AH791" s="64"/>
      <c r="AI791" s="64"/>
      <c r="AJ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  <c r="AG792" s="64"/>
      <c r="AH792" s="64"/>
      <c r="AI792" s="64"/>
      <c r="AJ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  <c r="AG793" s="64"/>
      <c r="AH793" s="64"/>
      <c r="AI793" s="64"/>
      <c r="AJ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  <c r="AG794" s="64"/>
      <c r="AH794" s="64"/>
      <c r="AI794" s="64"/>
      <c r="AJ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  <c r="AG795" s="64"/>
      <c r="AH795" s="64"/>
      <c r="AI795" s="64"/>
      <c r="AJ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  <c r="AG796" s="64"/>
      <c r="AH796" s="64"/>
      <c r="AI796" s="64"/>
      <c r="AJ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  <c r="AG797" s="64"/>
      <c r="AH797" s="64"/>
      <c r="AI797" s="64"/>
      <c r="AJ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  <c r="AG798" s="64"/>
      <c r="AH798" s="64"/>
      <c r="AI798" s="64"/>
      <c r="AJ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  <c r="AG799" s="64"/>
      <c r="AH799" s="64"/>
      <c r="AI799" s="64"/>
      <c r="AJ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  <c r="AG800" s="64"/>
      <c r="AH800" s="64"/>
      <c r="AI800" s="64"/>
      <c r="AJ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  <c r="AG801" s="64"/>
      <c r="AH801" s="64"/>
      <c r="AI801" s="64"/>
      <c r="AJ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  <c r="AG802" s="64"/>
      <c r="AH802" s="64"/>
      <c r="AI802" s="64"/>
      <c r="AJ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  <c r="AG803" s="64"/>
      <c r="AH803" s="64"/>
      <c r="AI803" s="64"/>
      <c r="AJ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  <c r="AG804" s="64"/>
      <c r="AH804" s="64"/>
      <c r="AI804" s="64"/>
      <c r="AJ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  <c r="AG805" s="64"/>
      <c r="AH805" s="64"/>
      <c r="AI805" s="64"/>
      <c r="AJ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  <c r="AG806" s="64"/>
      <c r="AH806" s="64"/>
      <c r="AI806" s="64"/>
      <c r="AJ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  <c r="AG807" s="64"/>
      <c r="AH807" s="64"/>
      <c r="AI807" s="64"/>
      <c r="AJ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  <c r="AG808" s="64"/>
      <c r="AH808" s="64"/>
      <c r="AI808" s="64"/>
      <c r="AJ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  <c r="AG809" s="64"/>
      <c r="AH809" s="64"/>
      <c r="AI809" s="64"/>
      <c r="AJ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  <c r="AG810" s="64"/>
      <c r="AH810" s="64"/>
      <c r="AI810" s="64"/>
      <c r="AJ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  <c r="AG811" s="64"/>
      <c r="AH811" s="64"/>
      <c r="AI811" s="64"/>
      <c r="AJ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  <c r="AG812" s="64"/>
      <c r="AH812" s="64"/>
      <c r="AI812" s="64"/>
      <c r="AJ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  <c r="AG813" s="64"/>
      <c r="AH813" s="64"/>
      <c r="AI813" s="64"/>
      <c r="AJ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  <c r="AG814" s="64"/>
      <c r="AH814" s="64"/>
      <c r="AI814" s="64"/>
      <c r="AJ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  <c r="AG815" s="64"/>
      <c r="AH815" s="64"/>
      <c r="AI815" s="64"/>
      <c r="AJ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  <c r="AG816" s="64"/>
      <c r="AH816" s="64"/>
      <c r="AI816" s="64"/>
      <c r="AJ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  <c r="AG817" s="64"/>
      <c r="AH817" s="64"/>
      <c r="AI817" s="64"/>
      <c r="AJ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  <c r="AG818" s="64"/>
      <c r="AH818" s="64"/>
      <c r="AI818" s="64"/>
      <c r="AJ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  <c r="AG819" s="64"/>
      <c r="AH819" s="64"/>
      <c r="AI819" s="64"/>
      <c r="AJ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  <c r="AG820" s="64"/>
      <c r="AH820" s="64"/>
      <c r="AI820" s="64"/>
      <c r="AJ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  <c r="AG821" s="64"/>
      <c r="AH821" s="64"/>
      <c r="AI821" s="64"/>
      <c r="AJ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  <c r="AG822" s="64"/>
      <c r="AH822" s="64"/>
      <c r="AI822" s="64"/>
      <c r="AJ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  <c r="AG823" s="64"/>
      <c r="AH823" s="64"/>
      <c r="AI823" s="64"/>
      <c r="AJ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  <c r="AG824" s="64"/>
      <c r="AH824" s="64"/>
      <c r="AI824" s="64"/>
      <c r="AJ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  <c r="AG825" s="64"/>
      <c r="AH825" s="64"/>
      <c r="AI825" s="64"/>
      <c r="AJ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  <c r="AG826" s="64"/>
      <c r="AH826" s="64"/>
      <c r="AI826" s="64"/>
      <c r="AJ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  <c r="AG827" s="64"/>
      <c r="AH827" s="64"/>
      <c r="AI827" s="64"/>
      <c r="AJ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  <c r="AG828" s="64"/>
      <c r="AH828" s="64"/>
      <c r="AI828" s="64"/>
      <c r="AJ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  <c r="AG829" s="64"/>
      <c r="AH829" s="64"/>
      <c r="AI829" s="64"/>
      <c r="AJ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  <c r="AG830" s="64"/>
      <c r="AH830" s="64"/>
      <c r="AI830" s="64"/>
      <c r="AJ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  <c r="AG831" s="64"/>
      <c r="AH831" s="64"/>
      <c r="AI831" s="64"/>
      <c r="AJ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  <c r="AG832" s="64"/>
      <c r="AH832" s="64"/>
      <c r="AI832" s="64"/>
      <c r="AJ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  <c r="AG833" s="64"/>
      <c r="AH833" s="64"/>
      <c r="AI833" s="64"/>
      <c r="AJ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  <c r="AG834" s="64"/>
      <c r="AH834" s="64"/>
      <c r="AI834" s="64"/>
      <c r="AJ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  <c r="AG835" s="64"/>
      <c r="AH835" s="64"/>
      <c r="AI835" s="64"/>
      <c r="AJ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  <c r="AG836" s="64"/>
      <c r="AH836" s="64"/>
      <c r="AI836" s="64"/>
      <c r="AJ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  <c r="AG837" s="64"/>
      <c r="AH837" s="64"/>
      <c r="AI837" s="64"/>
      <c r="AJ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  <c r="AG838" s="64"/>
      <c r="AH838" s="64"/>
      <c r="AI838" s="64"/>
      <c r="AJ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  <c r="AG839" s="64"/>
      <c r="AH839" s="64"/>
      <c r="AI839" s="64"/>
      <c r="AJ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  <c r="AG840" s="64"/>
      <c r="AH840" s="64"/>
      <c r="AI840" s="64"/>
      <c r="AJ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  <c r="AG841" s="64"/>
      <c r="AH841" s="64"/>
      <c r="AI841" s="64"/>
      <c r="AJ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  <c r="AG842" s="64"/>
      <c r="AH842" s="64"/>
      <c r="AI842" s="64"/>
      <c r="AJ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  <c r="AG843" s="64"/>
      <c r="AH843" s="64"/>
      <c r="AI843" s="64"/>
      <c r="AJ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  <c r="AG844" s="64"/>
      <c r="AH844" s="64"/>
      <c r="AI844" s="64"/>
      <c r="AJ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  <c r="AG845" s="64"/>
      <c r="AH845" s="64"/>
      <c r="AI845" s="64"/>
      <c r="AJ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  <c r="AG846" s="64"/>
      <c r="AH846" s="64"/>
      <c r="AI846" s="64"/>
      <c r="AJ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  <c r="AG847" s="64"/>
      <c r="AH847" s="64"/>
      <c r="AI847" s="64"/>
      <c r="AJ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  <c r="AG848" s="64"/>
      <c r="AH848" s="64"/>
      <c r="AI848" s="64"/>
      <c r="AJ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  <c r="AG849" s="64"/>
      <c r="AH849" s="64"/>
      <c r="AI849" s="64"/>
      <c r="AJ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  <c r="AG850" s="64"/>
      <c r="AH850" s="64"/>
      <c r="AI850" s="64"/>
      <c r="AJ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  <c r="AG851" s="64"/>
      <c r="AH851" s="64"/>
      <c r="AI851" s="64"/>
      <c r="AJ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  <c r="AG852" s="64"/>
      <c r="AH852" s="64"/>
      <c r="AI852" s="64"/>
      <c r="AJ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  <c r="AG853" s="64"/>
      <c r="AH853" s="64"/>
      <c r="AI853" s="64"/>
      <c r="AJ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  <c r="AG854" s="64"/>
      <c r="AH854" s="64"/>
      <c r="AI854" s="64"/>
      <c r="AJ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  <c r="AG855" s="64"/>
      <c r="AH855" s="64"/>
      <c r="AI855" s="64"/>
      <c r="AJ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  <c r="AG856" s="64"/>
      <c r="AH856" s="64"/>
      <c r="AI856" s="64"/>
      <c r="AJ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  <c r="AG857" s="64"/>
      <c r="AH857" s="64"/>
      <c r="AI857" s="64"/>
      <c r="AJ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  <c r="AG858" s="64"/>
      <c r="AH858" s="64"/>
      <c r="AI858" s="64"/>
      <c r="AJ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  <c r="AG859" s="64"/>
      <c r="AH859" s="64"/>
      <c r="AI859" s="64"/>
      <c r="AJ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  <c r="AG860" s="64"/>
      <c r="AH860" s="64"/>
      <c r="AI860" s="64"/>
      <c r="AJ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  <c r="AG861" s="64"/>
      <c r="AH861" s="64"/>
      <c r="AI861" s="64"/>
      <c r="AJ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  <c r="AG862" s="64"/>
      <c r="AH862" s="64"/>
      <c r="AI862" s="64"/>
      <c r="AJ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  <c r="AG863" s="64"/>
      <c r="AH863" s="64"/>
      <c r="AI863" s="64"/>
      <c r="AJ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  <c r="AG864" s="64"/>
      <c r="AH864" s="64"/>
      <c r="AI864" s="64"/>
      <c r="AJ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  <c r="AG865" s="64"/>
      <c r="AH865" s="64"/>
      <c r="AI865" s="64"/>
      <c r="AJ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  <c r="AG866" s="64"/>
      <c r="AH866" s="64"/>
      <c r="AI866" s="64"/>
      <c r="AJ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  <c r="AG867" s="64"/>
      <c r="AH867" s="64"/>
      <c r="AI867" s="64"/>
      <c r="AJ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  <c r="AG868" s="64"/>
      <c r="AH868" s="64"/>
      <c r="AI868" s="64"/>
      <c r="AJ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  <c r="AG869" s="64"/>
      <c r="AH869" s="64"/>
      <c r="AI869" s="64"/>
      <c r="AJ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  <c r="AG870" s="64"/>
      <c r="AH870" s="64"/>
      <c r="AI870" s="64"/>
      <c r="AJ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  <c r="AG871" s="64"/>
      <c r="AH871" s="64"/>
      <c r="AI871" s="64"/>
      <c r="AJ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  <c r="AG872" s="64"/>
      <c r="AH872" s="64"/>
      <c r="AI872" s="64"/>
      <c r="AJ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  <c r="AG873" s="64"/>
      <c r="AH873" s="64"/>
      <c r="AI873" s="64"/>
      <c r="AJ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  <c r="AG874" s="64"/>
      <c r="AH874" s="64"/>
      <c r="AI874" s="64"/>
      <c r="AJ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  <c r="AG875" s="64"/>
      <c r="AH875" s="64"/>
      <c r="AI875" s="64"/>
      <c r="AJ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  <c r="AG876" s="64"/>
      <c r="AH876" s="64"/>
      <c r="AI876" s="64"/>
      <c r="AJ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  <c r="AG877" s="64"/>
      <c r="AH877" s="64"/>
      <c r="AI877" s="64"/>
      <c r="AJ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  <c r="AG878" s="64"/>
      <c r="AH878" s="64"/>
      <c r="AI878" s="64"/>
      <c r="AJ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  <c r="AG879" s="64"/>
      <c r="AH879" s="64"/>
      <c r="AI879" s="64"/>
      <c r="AJ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  <c r="AG880" s="64"/>
      <c r="AH880" s="64"/>
      <c r="AI880" s="64"/>
      <c r="AJ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  <c r="AG881" s="64"/>
      <c r="AH881" s="64"/>
      <c r="AI881" s="64"/>
      <c r="AJ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  <c r="AG882" s="64"/>
      <c r="AH882" s="64"/>
      <c r="AI882" s="64"/>
      <c r="AJ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  <c r="AG883" s="64"/>
      <c r="AH883" s="64"/>
      <c r="AI883" s="64"/>
      <c r="AJ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  <c r="AG884" s="64"/>
      <c r="AH884" s="64"/>
      <c r="AI884" s="64"/>
      <c r="AJ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  <c r="AG885" s="64"/>
      <c r="AH885" s="64"/>
      <c r="AI885" s="64"/>
      <c r="AJ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  <c r="AG886" s="64"/>
      <c r="AH886" s="64"/>
      <c r="AI886" s="64"/>
      <c r="AJ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  <c r="AG887" s="64"/>
      <c r="AH887" s="64"/>
      <c r="AI887" s="64"/>
      <c r="AJ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  <c r="AG888" s="64"/>
      <c r="AH888" s="64"/>
      <c r="AI888" s="64"/>
      <c r="AJ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  <c r="AG889" s="64"/>
      <c r="AH889" s="64"/>
      <c r="AI889" s="64"/>
      <c r="AJ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  <c r="AG890" s="64"/>
      <c r="AH890" s="64"/>
      <c r="AI890" s="64"/>
      <c r="AJ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  <c r="AG891" s="64"/>
      <c r="AH891" s="64"/>
      <c r="AI891" s="64"/>
      <c r="AJ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  <c r="AG892" s="64"/>
      <c r="AH892" s="64"/>
      <c r="AI892" s="64"/>
      <c r="AJ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  <c r="AG893" s="64"/>
      <c r="AH893" s="64"/>
      <c r="AI893" s="64"/>
      <c r="AJ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  <c r="AG894" s="64"/>
      <c r="AH894" s="64"/>
      <c r="AI894" s="64"/>
      <c r="AJ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  <c r="AG895" s="64"/>
      <c r="AH895" s="64"/>
      <c r="AI895" s="64"/>
      <c r="AJ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  <c r="AG896" s="64"/>
      <c r="AH896" s="64"/>
      <c r="AI896" s="64"/>
      <c r="AJ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  <c r="AG897" s="64"/>
      <c r="AH897" s="64"/>
      <c r="AI897" s="64"/>
      <c r="AJ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  <c r="AG898" s="64"/>
      <c r="AH898" s="64"/>
      <c r="AI898" s="64"/>
      <c r="AJ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  <c r="AG899" s="64"/>
      <c r="AH899" s="64"/>
      <c r="AI899" s="64"/>
      <c r="AJ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  <c r="AG900" s="64"/>
      <c r="AH900" s="64"/>
      <c r="AI900" s="64"/>
      <c r="AJ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  <c r="AG901" s="64"/>
      <c r="AH901" s="64"/>
      <c r="AI901" s="64"/>
      <c r="AJ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  <c r="AG902" s="64"/>
      <c r="AH902" s="64"/>
      <c r="AI902" s="64"/>
      <c r="AJ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  <c r="AG903" s="64"/>
      <c r="AH903" s="64"/>
      <c r="AI903" s="64"/>
      <c r="AJ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  <c r="AG904" s="64"/>
      <c r="AH904" s="64"/>
      <c r="AI904" s="64"/>
      <c r="AJ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  <c r="AG905" s="64"/>
      <c r="AH905" s="64"/>
      <c r="AI905" s="64"/>
      <c r="AJ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  <c r="AG906" s="64"/>
      <c r="AH906" s="64"/>
      <c r="AI906" s="64"/>
      <c r="AJ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  <c r="AG907" s="64"/>
      <c r="AH907" s="64"/>
      <c r="AI907" s="64"/>
      <c r="AJ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  <c r="AG908" s="64"/>
      <c r="AH908" s="64"/>
      <c r="AI908" s="64"/>
      <c r="AJ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  <c r="AG909" s="64"/>
      <c r="AH909" s="64"/>
      <c r="AI909" s="64"/>
      <c r="AJ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  <c r="AG910" s="64"/>
      <c r="AH910" s="64"/>
      <c r="AI910" s="64"/>
      <c r="AJ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  <c r="AG911" s="64"/>
      <c r="AH911" s="64"/>
      <c r="AI911" s="64"/>
      <c r="AJ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  <c r="AG912" s="64"/>
      <c r="AH912" s="64"/>
      <c r="AI912" s="64"/>
      <c r="AJ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  <c r="AG913" s="64"/>
      <c r="AH913" s="64"/>
      <c r="AI913" s="64"/>
      <c r="AJ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  <c r="AG914" s="64"/>
      <c r="AH914" s="64"/>
      <c r="AI914" s="64"/>
      <c r="AJ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  <c r="AG915" s="64"/>
      <c r="AH915" s="64"/>
      <c r="AI915" s="64"/>
      <c r="AJ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  <c r="AG916" s="64"/>
      <c r="AH916" s="64"/>
      <c r="AI916" s="64"/>
      <c r="AJ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  <c r="AG917" s="64"/>
      <c r="AH917" s="64"/>
      <c r="AI917" s="64"/>
      <c r="AJ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  <c r="AG918" s="64"/>
      <c r="AH918" s="64"/>
      <c r="AI918" s="64"/>
      <c r="AJ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  <c r="AG919" s="64"/>
      <c r="AH919" s="64"/>
      <c r="AI919" s="64"/>
      <c r="AJ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  <c r="AG920" s="64"/>
      <c r="AH920" s="64"/>
      <c r="AI920" s="64"/>
      <c r="AJ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  <c r="AG921" s="64"/>
      <c r="AH921" s="64"/>
      <c r="AI921" s="64"/>
      <c r="AJ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  <c r="AG922" s="64"/>
      <c r="AH922" s="64"/>
      <c r="AI922" s="64"/>
      <c r="AJ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  <c r="AG923" s="64"/>
      <c r="AH923" s="64"/>
      <c r="AI923" s="64"/>
      <c r="AJ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  <c r="AG924" s="64"/>
      <c r="AH924" s="64"/>
      <c r="AI924" s="64"/>
      <c r="AJ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  <c r="AG925" s="64"/>
      <c r="AH925" s="64"/>
      <c r="AI925" s="64"/>
      <c r="AJ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  <c r="AG926" s="64"/>
      <c r="AH926" s="64"/>
      <c r="AI926" s="64"/>
      <c r="AJ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  <c r="AG927" s="64"/>
      <c r="AH927" s="64"/>
      <c r="AI927" s="64"/>
      <c r="AJ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  <c r="AG928" s="64"/>
      <c r="AH928" s="64"/>
      <c r="AI928" s="64"/>
      <c r="AJ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  <c r="AG929" s="64"/>
      <c r="AH929" s="64"/>
      <c r="AI929" s="64"/>
      <c r="AJ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  <c r="AG930" s="64"/>
      <c r="AH930" s="64"/>
      <c r="AI930" s="64"/>
      <c r="AJ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  <c r="AG931" s="64"/>
      <c r="AH931" s="64"/>
      <c r="AI931" s="64"/>
      <c r="AJ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  <c r="AG932" s="64"/>
      <c r="AH932" s="64"/>
      <c r="AI932" s="64"/>
      <c r="AJ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  <c r="AG933" s="64"/>
      <c r="AH933" s="64"/>
      <c r="AI933" s="64"/>
      <c r="AJ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  <c r="AG934" s="64"/>
      <c r="AH934" s="64"/>
      <c r="AI934" s="64"/>
      <c r="AJ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  <c r="AG935" s="64"/>
      <c r="AH935" s="64"/>
      <c r="AI935" s="64"/>
      <c r="AJ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  <c r="AG936" s="64"/>
      <c r="AH936" s="64"/>
      <c r="AI936" s="64"/>
      <c r="AJ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  <c r="AG937" s="64"/>
      <c r="AH937" s="64"/>
      <c r="AI937" s="64"/>
      <c r="AJ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  <c r="AG938" s="64"/>
      <c r="AH938" s="64"/>
      <c r="AI938" s="64"/>
      <c r="AJ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  <c r="AG939" s="64"/>
      <c r="AH939" s="64"/>
      <c r="AI939" s="64"/>
      <c r="AJ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  <c r="AG940" s="64"/>
      <c r="AH940" s="64"/>
      <c r="AI940" s="64"/>
      <c r="AJ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  <c r="AG941" s="64"/>
      <c r="AH941" s="64"/>
      <c r="AI941" s="64"/>
      <c r="AJ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  <c r="AG942" s="64"/>
      <c r="AH942" s="64"/>
      <c r="AI942" s="64"/>
      <c r="AJ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  <c r="AG943" s="64"/>
      <c r="AH943" s="64"/>
      <c r="AI943" s="64"/>
      <c r="AJ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  <c r="AG944" s="64"/>
      <c r="AH944" s="64"/>
      <c r="AI944" s="64"/>
      <c r="AJ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  <c r="AG945" s="64"/>
      <c r="AH945" s="64"/>
      <c r="AI945" s="64"/>
      <c r="AJ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  <c r="AI946" s="64"/>
      <c r="AJ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  <c r="AI947" s="64"/>
      <c r="AJ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  <c r="AI948" s="64"/>
      <c r="AJ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  <c r="AI949" s="64"/>
      <c r="AJ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  <c r="AI950" s="64"/>
      <c r="AJ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  <c r="AI951" s="64"/>
      <c r="AJ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  <c r="AI952" s="64"/>
      <c r="AJ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  <c r="AI953" s="64"/>
      <c r="AJ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  <c r="AI954" s="64"/>
      <c r="AJ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  <c r="AI955" s="64"/>
      <c r="AJ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  <c r="AI956" s="64"/>
      <c r="AJ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  <c r="AI957" s="64"/>
      <c r="AJ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  <c r="AI958" s="64"/>
      <c r="AJ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  <c r="AI959" s="64"/>
      <c r="AJ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  <c r="AI960" s="64"/>
      <c r="AJ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  <c r="AI961" s="64"/>
      <c r="AJ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  <c r="AI962" s="64"/>
      <c r="AJ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  <c r="AI963" s="64"/>
      <c r="AJ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  <c r="AI964" s="64"/>
      <c r="AJ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  <c r="AI965" s="64"/>
      <c r="AJ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  <c r="AI966" s="64"/>
      <c r="AJ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  <c r="AI967" s="64"/>
      <c r="AJ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  <c r="AI968" s="64"/>
      <c r="AJ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  <c r="AI969" s="64"/>
      <c r="AJ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  <c r="AI970" s="64"/>
      <c r="AJ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  <c r="AI971" s="64"/>
      <c r="AJ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  <c r="AI972" s="64"/>
      <c r="AJ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  <c r="AI973" s="64"/>
      <c r="AJ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  <c r="AI974" s="64"/>
      <c r="AJ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  <c r="AI975" s="64"/>
      <c r="AJ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  <c r="AI976" s="64"/>
      <c r="AJ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  <c r="AI977" s="64"/>
      <c r="AJ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  <c r="AI978" s="64"/>
      <c r="AJ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  <c r="AI979" s="64"/>
      <c r="AJ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  <c r="AI980" s="64"/>
      <c r="AJ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  <c r="AI981" s="64"/>
      <c r="AJ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  <c r="AI982" s="64"/>
      <c r="AJ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  <c r="AI983" s="64"/>
      <c r="AJ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  <c r="AI984" s="64"/>
      <c r="AJ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  <c r="AI985" s="64"/>
      <c r="AJ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  <c r="AI986" s="64"/>
      <c r="AJ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  <c r="AI987" s="64"/>
      <c r="AJ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  <c r="AI988" s="64"/>
      <c r="AJ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  <c r="AI989" s="64"/>
      <c r="AJ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  <c r="AI990" s="64"/>
      <c r="AJ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  <c r="AI991" s="64"/>
      <c r="AJ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  <c r="AI992" s="64"/>
      <c r="AJ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  <c r="AI993" s="64"/>
      <c r="AJ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  <c r="AI994" s="64"/>
      <c r="AJ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  <c r="AI995" s="64"/>
      <c r="AJ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  <c r="AI996" s="64"/>
      <c r="AJ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  <c r="AI997" s="64"/>
      <c r="AJ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  <c r="AI998" s="64"/>
      <c r="AJ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  <c r="AI999" s="64"/>
      <c r="AJ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  <c r="AI1000" s="64"/>
      <c r="AJ1000" s="64"/>
    </row>
  </sheetData>
  <mergeCells count="6">
    <mergeCell ref="F1:P1"/>
    <mergeCell ref="A2:G3"/>
    <mergeCell ref="H2:AJ2"/>
    <mergeCell ref="H3:P3"/>
    <mergeCell ref="R3:Z3"/>
    <mergeCell ref="AA3:AJ3"/>
  </mergeCells>
  <conditionalFormatting sqref="AJ5:AJ39">
    <cfRule type="cellIs" dxfId="5" priority="1" operator="lessThan">
      <formula>7</formula>
    </cfRule>
  </conditionalFormatting>
  <conditionalFormatting sqref="AJ5:AJ39">
    <cfRule type="cellIs" dxfId="6" priority="2" operator="greaterThanOrEqual">
      <formula>7</formula>
    </cfRule>
  </conditionalFormatting>
  <conditionalFormatting sqref="Q5:Q38">
    <cfRule type="cellIs" dxfId="7" priority="3" operator="greaterThan">
      <formula>"ABS(R5−AA5)&gt;2"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63"/>
    <col customWidth="1" min="3" max="3" width="27.75"/>
    <col customWidth="1" min="4" max="4" width="18.13"/>
    <col customWidth="1" min="5" max="5" width="25.5"/>
    <col customWidth="1" min="6" max="6" width="21.75"/>
    <col customWidth="1" min="7" max="7" width="17.63"/>
    <col customWidth="1" min="8" max="8" width="19.13"/>
    <col customWidth="1" min="9" max="9" width="15.13"/>
    <col customWidth="1" min="10" max="10" width="21.63"/>
    <col customWidth="1" min="11" max="11" width="18.13"/>
    <col customWidth="1" min="14" max="14" width="23.25"/>
    <col customWidth="1" min="15" max="15" width="9.75"/>
  </cols>
  <sheetData>
    <row r="1">
      <c r="A1" s="71" t="s">
        <v>60</v>
      </c>
      <c r="O1" s="72"/>
    </row>
    <row r="2">
      <c r="A2" s="73"/>
      <c r="B2" s="74"/>
      <c r="C2" s="75" t="s">
        <v>61</v>
      </c>
      <c r="G2" s="76" t="s">
        <v>62</v>
      </c>
      <c r="K2" s="77" t="s">
        <v>63</v>
      </c>
      <c r="O2" s="78" t="s">
        <v>56</v>
      </c>
    </row>
    <row r="3">
      <c r="A3" s="79" t="s">
        <v>64</v>
      </c>
      <c r="B3" s="80" t="s">
        <v>65</v>
      </c>
      <c r="C3" s="81" t="s">
        <v>66</v>
      </c>
      <c r="D3" s="81" t="s">
        <v>67</v>
      </c>
      <c r="E3" s="81" t="s">
        <v>66</v>
      </c>
      <c r="F3" s="81" t="s">
        <v>67</v>
      </c>
      <c r="G3" s="82" t="s">
        <v>66</v>
      </c>
      <c r="H3" s="82" t="s">
        <v>67</v>
      </c>
      <c r="I3" s="82" t="s">
        <v>66</v>
      </c>
      <c r="J3" s="82" t="s">
        <v>67</v>
      </c>
      <c r="K3" s="83" t="s">
        <v>66</v>
      </c>
      <c r="L3" s="84" t="s">
        <v>67</v>
      </c>
      <c r="M3" s="84" t="s">
        <v>66</v>
      </c>
      <c r="N3" s="84" t="s">
        <v>67</v>
      </c>
    </row>
    <row r="4" ht="72.0" customHeight="1">
      <c r="A4" s="85"/>
      <c r="B4" s="85"/>
      <c r="C4" s="86" t="s">
        <v>68</v>
      </c>
      <c r="D4" s="86" t="s">
        <v>69</v>
      </c>
      <c r="E4" s="86" t="s">
        <v>70</v>
      </c>
      <c r="F4" s="86" t="s">
        <v>71</v>
      </c>
      <c r="G4" s="87" t="s">
        <v>68</v>
      </c>
      <c r="H4" s="87" t="s">
        <v>69</v>
      </c>
      <c r="I4" s="87" t="s">
        <v>70</v>
      </c>
      <c r="J4" s="87" t="s">
        <v>71</v>
      </c>
      <c r="K4" s="88" t="s">
        <v>68</v>
      </c>
      <c r="L4" s="89" t="s">
        <v>69</v>
      </c>
      <c r="M4" s="89" t="s">
        <v>70</v>
      </c>
      <c r="N4" s="89" t="s">
        <v>71</v>
      </c>
      <c r="P4" s="90"/>
      <c r="Q4" s="90"/>
      <c r="R4" s="90"/>
      <c r="S4" s="90"/>
      <c r="T4" s="90"/>
      <c r="U4" s="90"/>
      <c r="V4" s="90"/>
    </row>
    <row r="5">
      <c r="A5" s="91" t="s">
        <v>72</v>
      </c>
      <c r="B5" s="92" t="s">
        <v>73</v>
      </c>
      <c r="C5" s="93">
        <v>2.0</v>
      </c>
      <c r="D5" s="93">
        <v>1.0</v>
      </c>
      <c r="E5" s="93">
        <v>1.5</v>
      </c>
      <c r="F5" s="93">
        <v>1.5</v>
      </c>
      <c r="G5" s="93">
        <v>2.5</v>
      </c>
      <c r="H5" s="93">
        <v>1.5</v>
      </c>
      <c r="I5" s="93">
        <v>2.0</v>
      </c>
      <c r="J5" s="93">
        <v>2.0</v>
      </c>
      <c r="K5" s="94">
        <v>3.0</v>
      </c>
      <c r="L5" s="94">
        <v>2.0</v>
      </c>
      <c r="M5" s="94">
        <v>2.5</v>
      </c>
      <c r="N5" s="94">
        <v>2.0</v>
      </c>
      <c r="O5" s="95">
        <f>SUM(C6:N6)/3</f>
        <v>7.6</v>
      </c>
    </row>
    <row r="6">
      <c r="A6" s="91" t="s">
        <v>74</v>
      </c>
      <c r="B6" s="92" t="s">
        <v>75</v>
      </c>
      <c r="C6" s="93">
        <v>2.0</v>
      </c>
      <c r="D6" s="96">
        <v>1.5</v>
      </c>
      <c r="E6" s="96">
        <v>2.0</v>
      </c>
      <c r="F6" s="96">
        <v>1.5</v>
      </c>
      <c r="G6" s="93">
        <v>3.0</v>
      </c>
      <c r="H6" s="96">
        <v>1.5</v>
      </c>
      <c r="I6" s="96">
        <v>2.0</v>
      </c>
      <c r="J6" s="96">
        <v>2.0</v>
      </c>
      <c r="K6" s="94">
        <v>2.3</v>
      </c>
      <c r="L6" s="97">
        <v>2.0</v>
      </c>
      <c r="M6" s="97">
        <v>1.5</v>
      </c>
      <c r="N6" s="97">
        <v>1.5</v>
      </c>
      <c r="O6" s="98">
        <f t="shared" ref="O6:O36" si="1">SUM(C6:N6)/3</f>
        <v>7.6</v>
      </c>
    </row>
    <row r="7">
      <c r="A7" s="91" t="s">
        <v>76</v>
      </c>
      <c r="B7" s="92" t="s">
        <v>77</v>
      </c>
      <c r="C7" s="99">
        <v>3.0</v>
      </c>
      <c r="D7" s="96">
        <v>1.5</v>
      </c>
      <c r="E7" s="100">
        <v>3.0</v>
      </c>
      <c r="F7" s="96">
        <v>2.0</v>
      </c>
      <c r="G7" s="99">
        <v>3.0</v>
      </c>
      <c r="H7" s="100">
        <v>1.2</v>
      </c>
      <c r="I7" s="100">
        <v>2.0</v>
      </c>
      <c r="J7" s="100">
        <v>2.0</v>
      </c>
      <c r="K7" s="101">
        <v>3.0</v>
      </c>
      <c r="L7" s="102">
        <v>2.0</v>
      </c>
      <c r="M7" s="102">
        <v>3.0</v>
      </c>
      <c r="N7" s="102">
        <v>2.0</v>
      </c>
      <c r="O7" s="98">
        <f t="shared" si="1"/>
        <v>9.233333333</v>
      </c>
    </row>
    <row r="8">
      <c r="A8" s="91" t="s">
        <v>78</v>
      </c>
      <c r="B8" s="92" t="s">
        <v>79</v>
      </c>
      <c r="C8" s="99">
        <v>2.0</v>
      </c>
      <c r="D8" s="96">
        <v>1.5</v>
      </c>
      <c r="E8" s="100">
        <v>1.5</v>
      </c>
      <c r="F8" s="96">
        <v>1.5</v>
      </c>
      <c r="G8" s="99">
        <v>2.8</v>
      </c>
      <c r="H8" s="100">
        <v>1.0</v>
      </c>
      <c r="I8" s="100">
        <v>1.5</v>
      </c>
      <c r="J8" s="100">
        <v>2.0</v>
      </c>
      <c r="K8" s="101">
        <v>3.0</v>
      </c>
      <c r="L8" s="102">
        <v>2.0</v>
      </c>
      <c r="M8" s="102">
        <v>3.0</v>
      </c>
      <c r="N8" s="102">
        <v>2.0</v>
      </c>
      <c r="O8" s="98">
        <f t="shared" si="1"/>
        <v>7.933333333</v>
      </c>
    </row>
    <row r="9">
      <c r="A9" s="91" t="s">
        <v>80</v>
      </c>
      <c r="B9" s="92" t="s">
        <v>81</v>
      </c>
      <c r="C9" s="99">
        <v>2.0</v>
      </c>
      <c r="D9" s="96">
        <v>1.0</v>
      </c>
      <c r="E9" s="100">
        <v>0.5</v>
      </c>
      <c r="F9" s="96">
        <v>0.5</v>
      </c>
      <c r="G9" s="99">
        <v>2.0</v>
      </c>
      <c r="H9" s="100">
        <v>2.0</v>
      </c>
      <c r="I9" s="100">
        <v>3.0</v>
      </c>
      <c r="J9" s="100">
        <v>1.0</v>
      </c>
      <c r="K9" s="101">
        <v>3.0</v>
      </c>
      <c r="L9" s="102">
        <v>2.0</v>
      </c>
      <c r="M9" s="102">
        <v>3.0</v>
      </c>
      <c r="N9" s="102">
        <v>1.0</v>
      </c>
      <c r="O9" s="98">
        <f t="shared" si="1"/>
        <v>7</v>
      </c>
    </row>
    <row r="10">
      <c r="A10" s="91" t="s">
        <v>82</v>
      </c>
      <c r="B10" s="103" t="s">
        <v>83</v>
      </c>
      <c r="C10" s="99">
        <v>3.0</v>
      </c>
      <c r="D10" s="96">
        <v>1.5</v>
      </c>
      <c r="E10" s="100">
        <v>3.0</v>
      </c>
      <c r="F10" s="96">
        <v>2.0</v>
      </c>
      <c r="G10" s="99">
        <v>3.0</v>
      </c>
      <c r="H10" s="100">
        <v>2.0</v>
      </c>
      <c r="I10" s="100">
        <v>2.5</v>
      </c>
      <c r="J10" s="100">
        <v>1.5</v>
      </c>
      <c r="K10" s="101">
        <v>3.0</v>
      </c>
      <c r="L10" s="102">
        <v>2.0</v>
      </c>
      <c r="M10" s="102">
        <v>3.0</v>
      </c>
      <c r="N10" s="102">
        <v>2.0</v>
      </c>
      <c r="O10" s="98">
        <f t="shared" si="1"/>
        <v>9.5</v>
      </c>
    </row>
    <row r="11">
      <c r="A11" s="91" t="s">
        <v>84</v>
      </c>
      <c r="B11" s="103" t="s">
        <v>85</v>
      </c>
      <c r="C11" s="99">
        <v>3.0</v>
      </c>
      <c r="D11" s="96">
        <v>2.0</v>
      </c>
      <c r="E11" s="100">
        <v>3.0</v>
      </c>
      <c r="F11" s="96">
        <v>2.0</v>
      </c>
      <c r="G11" s="99">
        <v>3.0</v>
      </c>
      <c r="H11" s="100">
        <v>2.0</v>
      </c>
      <c r="I11" s="100">
        <v>2.0</v>
      </c>
      <c r="J11" s="100">
        <v>2.0</v>
      </c>
      <c r="K11" s="101">
        <v>3.0</v>
      </c>
      <c r="L11" s="102">
        <v>2.0</v>
      </c>
      <c r="M11" s="102">
        <v>3.0</v>
      </c>
      <c r="N11" s="102">
        <v>2.0</v>
      </c>
      <c r="O11" s="98">
        <f t="shared" si="1"/>
        <v>9.666666667</v>
      </c>
    </row>
    <row r="12">
      <c r="A12" s="91" t="s">
        <v>86</v>
      </c>
      <c r="B12" s="103" t="s">
        <v>87</v>
      </c>
      <c r="C12" s="99">
        <v>3.0</v>
      </c>
      <c r="D12" s="96">
        <v>1.5</v>
      </c>
      <c r="E12" s="100">
        <v>2.5</v>
      </c>
      <c r="F12" s="100">
        <v>1.5</v>
      </c>
      <c r="G12" s="99">
        <v>3.0</v>
      </c>
      <c r="H12" s="100">
        <v>2.0</v>
      </c>
      <c r="I12" s="100">
        <v>2.0</v>
      </c>
      <c r="J12" s="100">
        <v>2.0</v>
      </c>
      <c r="K12" s="101">
        <v>2.5</v>
      </c>
      <c r="L12" s="102">
        <v>2.0</v>
      </c>
      <c r="M12" s="102">
        <v>2.5</v>
      </c>
      <c r="N12" s="102">
        <v>2.0</v>
      </c>
      <c r="O12" s="98">
        <f t="shared" si="1"/>
        <v>8.833333333</v>
      </c>
    </row>
    <row r="13">
      <c r="A13" s="91" t="s">
        <v>88</v>
      </c>
      <c r="B13" s="103" t="s">
        <v>89</v>
      </c>
      <c r="C13" s="93">
        <v>2.0</v>
      </c>
      <c r="D13" s="93">
        <v>1.5</v>
      </c>
      <c r="E13" s="93">
        <v>2.0</v>
      </c>
      <c r="F13" s="93">
        <v>1.0</v>
      </c>
      <c r="G13" s="93">
        <v>2.0</v>
      </c>
      <c r="H13" s="93">
        <v>2.0</v>
      </c>
      <c r="I13" s="93">
        <v>1.5</v>
      </c>
      <c r="J13" s="93">
        <v>2.0</v>
      </c>
      <c r="K13" s="94">
        <v>3.0</v>
      </c>
      <c r="L13" s="94">
        <v>2.0</v>
      </c>
      <c r="M13" s="94">
        <v>3.0</v>
      </c>
      <c r="N13" s="94">
        <v>2.0</v>
      </c>
      <c r="O13" s="98">
        <f t="shared" si="1"/>
        <v>8</v>
      </c>
    </row>
    <row r="14">
      <c r="A14" s="104" t="s">
        <v>90</v>
      </c>
      <c r="B14" s="105" t="s">
        <v>91</v>
      </c>
      <c r="C14" s="106" t="s">
        <v>92</v>
      </c>
      <c r="D14" s="106" t="s">
        <v>92</v>
      </c>
      <c r="E14" s="106" t="s">
        <v>92</v>
      </c>
      <c r="F14" s="106" t="s">
        <v>92</v>
      </c>
      <c r="G14" s="106" t="s">
        <v>92</v>
      </c>
      <c r="H14" s="106" t="s">
        <v>92</v>
      </c>
      <c r="I14" s="106" t="s">
        <v>92</v>
      </c>
      <c r="J14" s="106" t="s">
        <v>92</v>
      </c>
      <c r="K14" s="107" t="s">
        <v>92</v>
      </c>
      <c r="L14" s="107" t="s">
        <v>92</v>
      </c>
      <c r="M14" s="107" t="s">
        <v>92</v>
      </c>
      <c r="N14" s="107" t="s">
        <v>92</v>
      </c>
      <c r="O14" s="108">
        <f t="shared" si="1"/>
        <v>0</v>
      </c>
    </row>
    <row r="15">
      <c r="A15" s="109" t="s">
        <v>93</v>
      </c>
      <c r="B15" s="110" t="s">
        <v>94</v>
      </c>
      <c r="C15" s="99">
        <v>3.0</v>
      </c>
      <c r="D15" s="100">
        <v>1.5</v>
      </c>
      <c r="E15" s="100">
        <v>2.0</v>
      </c>
      <c r="F15" s="96">
        <v>2.0</v>
      </c>
      <c r="G15" s="99">
        <v>3.0</v>
      </c>
      <c r="H15" s="100">
        <v>2.0</v>
      </c>
      <c r="I15" s="100">
        <v>2.0</v>
      </c>
      <c r="J15" s="100">
        <v>2.0</v>
      </c>
      <c r="K15" s="101">
        <v>3.0</v>
      </c>
      <c r="L15" s="102">
        <v>2.0</v>
      </c>
      <c r="M15" s="102">
        <v>3.0</v>
      </c>
      <c r="N15" s="102">
        <v>2.0</v>
      </c>
      <c r="O15" s="98">
        <f t="shared" si="1"/>
        <v>9.166666667</v>
      </c>
    </row>
    <row r="16">
      <c r="A16" s="109" t="s">
        <v>95</v>
      </c>
      <c r="B16" s="110" t="s">
        <v>96</v>
      </c>
      <c r="C16" s="99">
        <v>3.0</v>
      </c>
      <c r="D16" s="111">
        <v>2.0</v>
      </c>
      <c r="E16" s="111">
        <v>2.0</v>
      </c>
      <c r="F16" s="111">
        <v>2.0</v>
      </c>
      <c r="G16" s="112">
        <v>3.0</v>
      </c>
      <c r="H16" s="111">
        <v>2.0</v>
      </c>
      <c r="I16" s="111">
        <v>3.0</v>
      </c>
      <c r="J16" s="111">
        <v>2.0</v>
      </c>
      <c r="K16" s="113">
        <v>2.5</v>
      </c>
      <c r="L16" s="114">
        <v>2.0</v>
      </c>
      <c r="M16" s="114">
        <v>3.0</v>
      </c>
      <c r="N16" s="114">
        <v>2.0</v>
      </c>
      <c r="O16" s="98">
        <f t="shared" si="1"/>
        <v>9.5</v>
      </c>
    </row>
    <row r="17">
      <c r="A17" s="115" t="s">
        <v>97</v>
      </c>
      <c r="B17" s="116" t="s">
        <v>98</v>
      </c>
      <c r="C17" s="106">
        <v>1.0</v>
      </c>
      <c r="D17" s="117">
        <v>1.0</v>
      </c>
      <c r="E17" s="117">
        <v>0.5</v>
      </c>
      <c r="F17" s="118">
        <v>0.5</v>
      </c>
      <c r="G17" s="119">
        <v>2.5</v>
      </c>
      <c r="H17" s="117">
        <v>1.5</v>
      </c>
      <c r="I17" s="117">
        <v>1.5</v>
      </c>
      <c r="J17" s="117">
        <v>1.5</v>
      </c>
      <c r="K17" s="120">
        <v>2.5</v>
      </c>
      <c r="L17" s="121">
        <v>1.5</v>
      </c>
      <c r="M17" s="121">
        <v>2.0</v>
      </c>
      <c r="N17" s="121">
        <v>2.0</v>
      </c>
      <c r="O17" s="108">
        <f t="shared" si="1"/>
        <v>6</v>
      </c>
    </row>
    <row r="18">
      <c r="A18" s="109" t="s">
        <v>99</v>
      </c>
      <c r="B18" s="110" t="s">
        <v>100</v>
      </c>
      <c r="C18" s="112">
        <v>2.5</v>
      </c>
      <c r="D18" s="111">
        <v>2.0</v>
      </c>
      <c r="E18" s="111">
        <v>2.0</v>
      </c>
      <c r="F18" s="96">
        <v>2.0</v>
      </c>
      <c r="G18" s="112">
        <v>3.0</v>
      </c>
      <c r="H18" s="111">
        <v>2.0</v>
      </c>
      <c r="I18" s="111">
        <v>3.0</v>
      </c>
      <c r="J18" s="111">
        <v>1.5</v>
      </c>
      <c r="K18" s="113">
        <v>3.0</v>
      </c>
      <c r="L18" s="114">
        <v>2.0</v>
      </c>
      <c r="M18" s="114">
        <v>3.0</v>
      </c>
      <c r="N18" s="114">
        <v>2.0</v>
      </c>
      <c r="O18" s="98">
        <f t="shared" si="1"/>
        <v>9.333333333</v>
      </c>
    </row>
    <row r="19">
      <c r="A19" s="109" t="s">
        <v>101</v>
      </c>
      <c r="B19" s="110" t="s">
        <v>102</v>
      </c>
      <c r="C19" s="99">
        <v>3.0</v>
      </c>
      <c r="D19" s="111">
        <v>2.0</v>
      </c>
      <c r="E19" s="111">
        <v>2.0</v>
      </c>
      <c r="F19" s="111">
        <v>2.0</v>
      </c>
      <c r="G19" s="112">
        <v>1.5</v>
      </c>
      <c r="H19" s="111">
        <v>2.0</v>
      </c>
      <c r="I19" s="111">
        <v>1.5</v>
      </c>
      <c r="J19" s="111">
        <v>1.5</v>
      </c>
      <c r="K19" s="113">
        <v>3.0</v>
      </c>
      <c r="L19" s="114">
        <v>2.0</v>
      </c>
      <c r="M19" s="114">
        <v>3.0</v>
      </c>
      <c r="N19" s="114">
        <v>2.0</v>
      </c>
      <c r="O19" s="98">
        <f t="shared" si="1"/>
        <v>8.5</v>
      </c>
    </row>
    <row r="20">
      <c r="A20" s="109" t="s">
        <v>103</v>
      </c>
      <c r="B20" s="110" t="s">
        <v>104</v>
      </c>
      <c r="C20" s="99">
        <v>2.0</v>
      </c>
      <c r="D20" s="111">
        <v>1.5</v>
      </c>
      <c r="E20" s="111">
        <v>2.5</v>
      </c>
      <c r="F20" s="96">
        <v>1.5</v>
      </c>
      <c r="G20" s="112">
        <v>2.0</v>
      </c>
      <c r="H20" s="111">
        <v>2.0</v>
      </c>
      <c r="I20" s="111">
        <v>3.0</v>
      </c>
      <c r="J20" s="111">
        <v>2.0</v>
      </c>
      <c r="K20" s="113">
        <v>3.0</v>
      </c>
      <c r="L20" s="114">
        <v>2.0</v>
      </c>
      <c r="M20" s="114">
        <v>3.0</v>
      </c>
      <c r="N20" s="114">
        <v>2.0</v>
      </c>
      <c r="O20" s="98">
        <f t="shared" si="1"/>
        <v>8.833333333</v>
      </c>
    </row>
    <row r="21">
      <c r="A21" s="109" t="s">
        <v>105</v>
      </c>
      <c r="B21" s="110" t="s">
        <v>106</v>
      </c>
      <c r="C21" s="99">
        <v>2.5</v>
      </c>
      <c r="D21" s="100">
        <v>1.5</v>
      </c>
      <c r="E21" s="100">
        <v>2.5</v>
      </c>
      <c r="F21" s="100">
        <v>1.5</v>
      </c>
      <c r="G21" s="99">
        <v>3.0</v>
      </c>
      <c r="H21" s="100">
        <v>2.0</v>
      </c>
      <c r="I21" s="100">
        <v>2.5</v>
      </c>
      <c r="J21" s="100">
        <v>2.0</v>
      </c>
      <c r="K21" s="101">
        <v>3.0</v>
      </c>
      <c r="L21" s="102">
        <v>2.0</v>
      </c>
      <c r="M21" s="102">
        <v>3.0</v>
      </c>
      <c r="N21" s="102">
        <v>2.0</v>
      </c>
      <c r="O21" s="98">
        <f t="shared" si="1"/>
        <v>9.166666667</v>
      </c>
    </row>
    <row r="22">
      <c r="A22" s="122" t="s">
        <v>107</v>
      </c>
      <c r="B22" s="123" t="s">
        <v>108</v>
      </c>
      <c r="C22" s="124">
        <v>1.5</v>
      </c>
      <c r="D22" s="124">
        <v>1.0</v>
      </c>
      <c r="E22" s="124">
        <v>0.5</v>
      </c>
      <c r="F22" s="124">
        <v>2.0</v>
      </c>
      <c r="G22" s="124">
        <v>2.5</v>
      </c>
      <c r="H22" s="124">
        <v>1.5</v>
      </c>
      <c r="I22" s="124">
        <v>1.5</v>
      </c>
      <c r="J22" s="124">
        <v>2.0</v>
      </c>
      <c r="K22" s="125">
        <v>2.5</v>
      </c>
      <c r="L22" s="125">
        <v>2.0</v>
      </c>
      <c r="M22" s="125">
        <v>1.5</v>
      </c>
      <c r="N22" s="125">
        <v>2.0</v>
      </c>
      <c r="O22" s="126">
        <f t="shared" si="1"/>
        <v>6.833333333</v>
      </c>
    </row>
    <row r="23">
      <c r="A23" s="127" t="s">
        <v>109</v>
      </c>
      <c r="B23" s="128" t="s">
        <v>110</v>
      </c>
      <c r="C23" s="129">
        <v>1.5</v>
      </c>
      <c r="D23" s="129">
        <v>1.5</v>
      </c>
      <c r="E23" s="129">
        <v>2.0</v>
      </c>
      <c r="F23" s="129">
        <v>2.0</v>
      </c>
      <c r="G23" s="129">
        <v>3.0</v>
      </c>
      <c r="H23" s="129">
        <v>2.0</v>
      </c>
      <c r="I23" s="129">
        <v>3.0</v>
      </c>
      <c r="J23" s="129">
        <v>2.0</v>
      </c>
      <c r="K23" s="130">
        <v>3.0</v>
      </c>
      <c r="L23" s="130">
        <v>2.0</v>
      </c>
      <c r="M23" s="130">
        <v>3.0</v>
      </c>
      <c r="N23" s="130">
        <v>2.0</v>
      </c>
      <c r="O23" s="98">
        <f t="shared" si="1"/>
        <v>9</v>
      </c>
    </row>
    <row r="24">
      <c r="A24" s="127" t="s">
        <v>111</v>
      </c>
      <c r="B24" s="128" t="s">
        <v>112</v>
      </c>
      <c r="C24" s="129">
        <v>2.5</v>
      </c>
      <c r="D24" s="129">
        <v>1.5</v>
      </c>
      <c r="E24" s="129">
        <v>2.0</v>
      </c>
      <c r="F24" s="129">
        <v>2.0</v>
      </c>
      <c r="G24" s="129">
        <v>2.5</v>
      </c>
      <c r="H24" s="129">
        <v>2.0</v>
      </c>
      <c r="I24" s="129">
        <v>1.5</v>
      </c>
      <c r="J24" s="129">
        <v>1.0</v>
      </c>
      <c r="K24" s="130">
        <v>2.5</v>
      </c>
      <c r="L24" s="130">
        <v>2.0</v>
      </c>
      <c r="M24" s="130">
        <v>1.5</v>
      </c>
      <c r="N24" s="130">
        <v>2.0</v>
      </c>
      <c r="O24" s="98">
        <f t="shared" si="1"/>
        <v>7.666666667</v>
      </c>
    </row>
    <row r="25">
      <c r="A25" s="131" t="s">
        <v>113</v>
      </c>
      <c r="B25" s="132" t="s">
        <v>114</v>
      </c>
      <c r="C25" s="133">
        <v>2.0</v>
      </c>
      <c r="D25" s="133">
        <v>1.5</v>
      </c>
      <c r="E25" s="133">
        <v>1.5</v>
      </c>
      <c r="F25" s="133">
        <v>1.5</v>
      </c>
      <c r="G25" s="133">
        <v>2.0</v>
      </c>
      <c r="H25" s="133">
        <v>1.5</v>
      </c>
      <c r="I25" s="133">
        <v>2.0</v>
      </c>
      <c r="J25" s="133">
        <v>1.0</v>
      </c>
      <c r="K25" s="134">
        <v>2.5</v>
      </c>
      <c r="L25" s="134">
        <v>1.5</v>
      </c>
      <c r="M25" s="134">
        <v>1.5</v>
      </c>
      <c r="N25" s="134">
        <v>1.5</v>
      </c>
      <c r="O25" s="108">
        <f t="shared" si="1"/>
        <v>6.666666667</v>
      </c>
    </row>
    <row r="26">
      <c r="A26" s="127" t="s">
        <v>115</v>
      </c>
      <c r="B26" s="128" t="s">
        <v>116</v>
      </c>
      <c r="C26" s="129">
        <v>3.0</v>
      </c>
      <c r="D26" s="129">
        <v>2.0</v>
      </c>
      <c r="E26" s="129">
        <v>2.0</v>
      </c>
      <c r="F26" s="129">
        <v>2.0</v>
      </c>
      <c r="G26" s="129">
        <v>3.0</v>
      </c>
      <c r="H26" s="129">
        <v>2.0</v>
      </c>
      <c r="I26" s="129">
        <v>2.0</v>
      </c>
      <c r="J26" s="129">
        <v>1.0</v>
      </c>
      <c r="K26" s="130">
        <v>3.0</v>
      </c>
      <c r="L26" s="130">
        <v>1.5</v>
      </c>
      <c r="M26" s="130">
        <v>2.0</v>
      </c>
      <c r="N26" s="130">
        <v>1.5</v>
      </c>
      <c r="O26" s="98">
        <f t="shared" si="1"/>
        <v>8.333333333</v>
      </c>
    </row>
    <row r="27">
      <c r="A27" s="131" t="s">
        <v>117</v>
      </c>
      <c r="B27" s="132" t="s">
        <v>118</v>
      </c>
      <c r="C27" s="133">
        <v>3.0</v>
      </c>
      <c r="D27" s="133">
        <v>1.5</v>
      </c>
      <c r="E27" s="133">
        <v>1.5</v>
      </c>
      <c r="F27" s="133">
        <v>1.0</v>
      </c>
      <c r="G27" s="133">
        <v>2.0</v>
      </c>
      <c r="H27" s="133">
        <v>1.5</v>
      </c>
      <c r="I27" s="133">
        <v>2.0</v>
      </c>
      <c r="J27" s="133">
        <v>1.0</v>
      </c>
      <c r="K27" s="134">
        <v>3.0</v>
      </c>
      <c r="L27" s="134">
        <v>1.5</v>
      </c>
      <c r="M27" s="134">
        <v>1.5</v>
      </c>
      <c r="N27" s="134">
        <v>1.0</v>
      </c>
      <c r="O27" s="108">
        <f t="shared" si="1"/>
        <v>6.833333333</v>
      </c>
    </row>
    <row r="28">
      <c r="A28" s="127" t="s">
        <v>119</v>
      </c>
      <c r="B28" s="128" t="s">
        <v>120</v>
      </c>
      <c r="C28" s="129">
        <v>3.0</v>
      </c>
      <c r="D28" s="129">
        <v>2.0</v>
      </c>
      <c r="E28" s="129">
        <v>1.5</v>
      </c>
      <c r="F28" s="129">
        <v>0.5</v>
      </c>
      <c r="G28" s="129">
        <v>3.0</v>
      </c>
      <c r="H28" s="129">
        <v>2.0</v>
      </c>
      <c r="I28" s="129">
        <v>1.5</v>
      </c>
      <c r="J28" s="129">
        <v>1.0</v>
      </c>
      <c r="K28" s="130">
        <v>2.5</v>
      </c>
      <c r="L28" s="130">
        <v>1.5</v>
      </c>
      <c r="M28" s="130">
        <v>2.0</v>
      </c>
      <c r="N28" s="130">
        <v>1.5</v>
      </c>
      <c r="O28" s="98">
        <f t="shared" si="1"/>
        <v>7.333333333</v>
      </c>
    </row>
    <row r="29">
      <c r="A29" s="135" t="s">
        <v>121</v>
      </c>
      <c r="B29" s="136" t="s">
        <v>122</v>
      </c>
      <c r="C29" s="129">
        <v>3.0</v>
      </c>
      <c r="D29" s="129">
        <v>2.0</v>
      </c>
      <c r="E29" s="129">
        <v>1.5</v>
      </c>
      <c r="F29" s="129">
        <v>1.5</v>
      </c>
      <c r="G29" s="129">
        <v>3.0</v>
      </c>
      <c r="H29" s="129">
        <v>2.0</v>
      </c>
      <c r="I29" s="129">
        <v>1.5</v>
      </c>
      <c r="J29" s="129">
        <v>1.0</v>
      </c>
      <c r="K29" s="130">
        <v>3.0</v>
      </c>
      <c r="L29" s="130">
        <v>2.0</v>
      </c>
      <c r="M29" s="130">
        <v>3.0</v>
      </c>
      <c r="N29" s="130">
        <v>2.0</v>
      </c>
      <c r="O29" s="98">
        <f t="shared" si="1"/>
        <v>8.5</v>
      </c>
    </row>
    <row r="30">
      <c r="A30" s="137" t="s">
        <v>123</v>
      </c>
      <c r="B30" s="138" t="s">
        <v>124</v>
      </c>
      <c r="C30" s="133" t="s">
        <v>92</v>
      </c>
      <c r="D30" s="133" t="s">
        <v>92</v>
      </c>
      <c r="E30" s="133" t="s">
        <v>92</v>
      </c>
      <c r="F30" s="133" t="s">
        <v>92</v>
      </c>
      <c r="G30" s="133" t="s">
        <v>92</v>
      </c>
      <c r="H30" s="133" t="s">
        <v>92</v>
      </c>
      <c r="I30" s="133" t="s">
        <v>92</v>
      </c>
      <c r="J30" s="133" t="s">
        <v>92</v>
      </c>
      <c r="K30" s="134" t="s">
        <v>92</v>
      </c>
      <c r="L30" s="134" t="s">
        <v>92</v>
      </c>
      <c r="M30" s="134" t="s">
        <v>92</v>
      </c>
      <c r="N30" s="134" t="s">
        <v>92</v>
      </c>
      <c r="O30" s="108">
        <f t="shared" si="1"/>
        <v>0</v>
      </c>
    </row>
    <row r="31">
      <c r="A31" s="135" t="s">
        <v>125</v>
      </c>
      <c r="B31" s="136" t="s">
        <v>126</v>
      </c>
      <c r="C31" s="129">
        <v>3.0</v>
      </c>
      <c r="D31" s="129">
        <v>2.0</v>
      </c>
      <c r="E31" s="129">
        <v>3.0</v>
      </c>
      <c r="F31" s="129">
        <v>2.0</v>
      </c>
      <c r="G31" s="129">
        <v>3.0</v>
      </c>
      <c r="H31" s="129">
        <v>2.0</v>
      </c>
      <c r="I31" s="129">
        <v>3.0</v>
      </c>
      <c r="J31" s="129">
        <v>2.0</v>
      </c>
      <c r="K31" s="130">
        <v>3.0</v>
      </c>
      <c r="L31" s="130">
        <v>2.0</v>
      </c>
      <c r="M31" s="130">
        <v>3.0</v>
      </c>
      <c r="N31" s="130">
        <v>2.0</v>
      </c>
      <c r="O31" s="98">
        <f t="shared" si="1"/>
        <v>10</v>
      </c>
    </row>
    <row r="32">
      <c r="A32" s="135" t="s">
        <v>127</v>
      </c>
      <c r="B32" s="136" t="s">
        <v>128</v>
      </c>
      <c r="C32" s="129">
        <v>3.0</v>
      </c>
      <c r="D32" s="129">
        <v>2.0</v>
      </c>
      <c r="E32" s="129">
        <v>3.0</v>
      </c>
      <c r="F32" s="129">
        <v>2.0</v>
      </c>
      <c r="G32" s="129">
        <v>2.5</v>
      </c>
      <c r="H32" s="129">
        <v>1.5</v>
      </c>
      <c r="I32" s="129">
        <v>2.5</v>
      </c>
      <c r="J32" s="129">
        <v>2.0</v>
      </c>
      <c r="K32" s="130">
        <v>2.5</v>
      </c>
      <c r="L32" s="130">
        <v>2.0</v>
      </c>
      <c r="M32" s="130">
        <v>1.5</v>
      </c>
      <c r="N32" s="130">
        <v>2.0</v>
      </c>
      <c r="O32" s="98">
        <f t="shared" si="1"/>
        <v>8.833333333</v>
      </c>
    </row>
    <row r="33">
      <c r="A33" s="135" t="s">
        <v>129</v>
      </c>
      <c r="B33" s="136" t="s">
        <v>130</v>
      </c>
      <c r="C33" s="129">
        <v>2.5</v>
      </c>
      <c r="D33" s="129">
        <v>2.0</v>
      </c>
      <c r="E33" s="129">
        <v>1.5</v>
      </c>
      <c r="F33" s="129">
        <v>1.5</v>
      </c>
      <c r="G33" s="129">
        <v>2.3</v>
      </c>
      <c r="H33" s="129">
        <v>1.5</v>
      </c>
      <c r="I33" s="129">
        <v>2.5</v>
      </c>
      <c r="J33" s="129">
        <v>2.0</v>
      </c>
      <c r="K33" s="130">
        <v>3.0</v>
      </c>
      <c r="L33" s="130">
        <v>2.0</v>
      </c>
      <c r="M33" s="130">
        <v>2.5</v>
      </c>
      <c r="N33" s="130">
        <v>2.0</v>
      </c>
      <c r="O33" s="98">
        <f t="shared" si="1"/>
        <v>8.433333333</v>
      </c>
    </row>
    <row r="34">
      <c r="A34" s="135" t="s">
        <v>131</v>
      </c>
      <c r="B34" s="136" t="s">
        <v>132</v>
      </c>
      <c r="C34" s="129">
        <v>3.0</v>
      </c>
      <c r="D34" s="129">
        <v>2.0</v>
      </c>
      <c r="E34" s="129">
        <v>3.0</v>
      </c>
      <c r="F34" s="129">
        <v>2.0</v>
      </c>
      <c r="G34" s="129">
        <v>3.0</v>
      </c>
      <c r="H34" s="129">
        <v>2.0</v>
      </c>
      <c r="I34" s="129">
        <v>3.0</v>
      </c>
      <c r="J34" s="129">
        <v>2.0</v>
      </c>
      <c r="K34" s="130">
        <v>3.0</v>
      </c>
      <c r="L34" s="130">
        <v>2.0</v>
      </c>
      <c r="M34" s="130">
        <v>3.0</v>
      </c>
      <c r="N34" s="130">
        <v>2.0</v>
      </c>
      <c r="O34" s="98">
        <f t="shared" si="1"/>
        <v>10</v>
      </c>
    </row>
    <row r="35">
      <c r="A35" s="135" t="s">
        <v>133</v>
      </c>
      <c r="B35" s="136" t="s">
        <v>134</v>
      </c>
      <c r="C35" s="129">
        <v>3.0</v>
      </c>
      <c r="D35" s="129">
        <v>2.0</v>
      </c>
      <c r="E35" s="129">
        <v>3.0</v>
      </c>
      <c r="F35" s="129">
        <v>2.0</v>
      </c>
      <c r="G35" s="129">
        <v>2.5</v>
      </c>
      <c r="H35" s="129">
        <v>2.0</v>
      </c>
      <c r="I35" s="129">
        <v>3.0</v>
      </c>
      <c r="J35" s="129">
        <v>2.0</v>
      </c>
      <c r="K35" s="130">
        <v>3.0</v>
      </c>
      <c r="L35" s="130">
        <v>2.0</v>
      </c>
      <c r="M35" s="130">
        <v>3.0</v>
      </c>
      <c r="N35" s="130">
        <v>2.0</v>
      </c>
      <c r="O35" s="98">
        <f t="shared" si="1"/>
        <v>9.833333333</v>
      </c>
    </row>
    <row r="36">
      <c r="A36" s="135" t="s">
        <v>135</v>
      </c>
      <c r="B36" s="136" t="s">
        <v>77</v>
      </c>
      <c r="C36" s="129">
        <v>3.0</v>
      </c>
      <c r="D36" s="129">
        <v>2.0</v>
      </c>
      <c r="E36" s="129">
        <v>2.0</v>
      </c>
      <c r="F36" s="129">
        <v>2.0</v>
      </c>
      <c r="G36" s="129">
        <v>3.0</v>
      </c>
      <c r="H36" s="129">
        <v>2.0</v>
      </c>
      <c r="I36" s="129">
        <v>2.0</v>
      </c>
      <c r="J36" s="129">
        <v>2.0</v>
      </c>
      <c r="K36" s="130">
        <v>3.0</v>
      </c>
      <c r="L36" s="130">
        <v>2.0</v>
      </c>
      <c r="M36" s="130">
        <v>3.0</v>
      </c>
      <c r="N36" s="130">
        <v>2.0</v>
      </c>
      <c r="O36" s="98">
        <f t="shared" si="1"/>
        <v>9.333333333</v>
      </c>
    </row>
    <row r="37">
      <c r="B37" s="139"/>
      <c r="O37" s="72"/>
    </row>
    <row r="38">
      <c r="B38" s="139"/>
      <c r="O38" s="72"/>
    </row>
    <row r="39">
      <c r="B39" s="139"/>
      <c r="O39" s="72"/>
    </row>
    <row r="40">
      <c r="B40" s="139"/>
      <c r="O40" s="72"/>
    </row>
    <row r="41">
      <c r="B41" s="139"/>
      <c r="O41" s="72"/>
    </row>
    <row r="42">
      <c r="B42" s="139"/>
      <c r="O42" s="72"/>
    </row>
    <row r="43">
      <c r="B43" s="139"/>
      <c r="O43" s="72"/>
    </row>
    <row r="44">
      <c r="B44" s="139"/>
      <c r="O44" s="72"/>
    </row>
    <row r="45">
      <c r="B45" s="139"/>
      <c r="O45" s="72"/>
    </row>
    <row r="46">
      <c r="B46" s="139"/>
      <c r="O46" s="72"/>
    </row>
    <row r="47">
      <c r="B47" s="139"/>
      <c r="O47" s="72"/>
    </row>
    <row r="48">
      <c r="B48" s="139"/>
      <c r="O48" s="72"/>
    </row>
    <row r="49">
      <c r="B49" s="139"/>
      <c r="O49" s="72"/>
    </row>
    <row r="50">
      <c r="B50" s="139"/>
      <c r="O50" s="72"/>
    </row>
    <row r="51">
      <c r="B51" s="139"/>
      <c r="O51" s="72"/>
    </row>
    <row r="52">
      <c r="B52" s="139"/>
      <c r="O52" s="72"/>
    </row>
    <row r="53">
      <c r="B53" s="139"/>
      <c r="O53" s="72"/>
    </row>
    <row r="54">
      <c r="B54" s="139"/>
      <c r="O54" s="72"/>
    </row>
    <row r="55">
      <c r="B55" s="139"/>
      <c r="O55" s="72"/>
    </row>
    <row r="56">
      <c r="B56" s="139"/>
      <c r="O56" s="72"/>
    </row>
    <row r="57">
      <c r="B57" s="139"/>
      <c r="O57" s="72"/>
    </row>
    <row r="58">
      <c r="B58" s="139"/>
      <c r="O58" s="72"/>
    </row>
    <row r="59">
      <c r="B59" s="139"/>
      <c r="O59" s="72"/>
    </row>
    <row r="60">
      <c r="B60" s="139"/>
      <c r="O60" s="72"/>
    </row>
    <row r="61">
      <c r="B61" s="139"/>
      <c r="O61" s="72"/>
    </row>
    <row r="62">
      <c r="B62" s="139"/>
      <c r="O62" s="72"/>
    </row>
    <row r="63">
      <c r="B63" s="139"/>
      <c r="O63" s="72"/>
    </row>
    <row r="64">
      <c r="B64" s="139"/>
      <c r="O64" s="72"/>
    </row>
    <row r="65">
      <c r="B65" s="139"/>
      <c r="O65" s="72"/>
    </row>
    <row r="66">
      <c r="B66" s="139"/>
      <c r="O66" s="72"/>
    </row>
    <row r="67">
      <c r="B67" s="139"/>
      <c r="O67" s="72"/>
    </row>
    <row r="68">
      <c r="B68" s="139"/>
      <c r="O68" s="72"/>
    </row>
    <row r="69">
      <c r="B69" s="139"/>
      <c r="O69" s="72"/>
    </row>
    <row r="70">
      <c r="B70" s="139"/>
      <c r="O70" s="72"/>
    </row>
    <row r="71">
      <c r="B71" s="139"/>
      <c r="O71" s="72"/>
    </row>
    <row r="72">
      <c r="B72" s="139"/>
      <c r="O72" s="72"/>
    </row>
    <row r="73">
      <c r="B73" s="139"/>
      <c r="O73" s="72"/>
    </row>
    <row r="74">
      <c r="B74" s="139"/>
      <c r="O74" s="72"/>
    </row>
    <row r="75">
      <c r="B75" s="139"/>
      <c r="O75" s="72"/>
    </row>
    <row r="76">
      <c r="B76" s="139"/>
      <c r="O76" s="72"/>
    </row>
    <row r="77">
      <c r="B77" s="139"/>
      <c r="O77" s="72"/>
    </row>
    <row r="78">
      <c r="B78" s="139"/>
      <c r="O78" s="72"/>
    </row>
    <row r="79">
      <c r="B79" s="139"/>
      <c r="O79" s="72"/>
    </row>
    <row r="80">
      <c r="B80" s="139"/>
      <c r="O80" s="72"/>
    </row>
    <row r="81">
      <c r="B81" s="139"/>
      <c r="O81" s="72"/>
    </row>
    <row r="82">
      <c r="B82" s="139"/>
      <c r="O82" s="72"/>
    </row>
    <row r="83">
      <c r="B83" s="139"/>
      <c r="O83" s="72"/>
    </row>
    <row r="84">
      <c r="B84" s="139"/>
      <c r="O84" s="72"/>
    </row>
    <row r="85">
      <c r="B85" s="139"/>
      <c r="O85" s="72"/>
    </row>
    <row r="86">
      <c r="B86" s="139"/>
      <c r="O86" s="72"/>
    </row>
    <row r="87">
      <c r="B87" s="139"/>
      <c r="O87" s="72"/>
    </row>
    <row r="88">
      <c r="B88" s="139"/>
      <c r="O88" s="72"/>
    </row>
    <row r="89">
      <c r="B89" s="139"/>
      <c r="O89" s="72"/>
    </row>
    <row r="90">
      <c r="B90" s="139"/>
      <c r="O90" s="72"/>
    </row>
    <row r="91">
      <c r="B91" s="139"/>
      <c r="O91" s="72"/>
    </row>
    <row r="92">
      <c r="B92" s="139"/>
      <c r="O92" s="72"/>
    </row>
    <row r="93">
      <c r="B93" s="139"/>
      <c r="O93" s="72"/>
    </row>
    <row r="94">
      <c r="B94" s="139"/>
      <c r="O94" s="72"/>
    </row>
    <row r="95">
      <c r="B95" s="139"/>
      <c r="O95" s="72"/>
    </row>
    <row r="96">
      <c r="B96" s="139"/>
      <c r="O96" s="72"/>
    </row>
    <row r="97">
      <c r="B97" s="139"/>
      <c r="O97" s="72"/>
    </row>
    <row r="98">
      <c r="B98" s="139"/>
      <c r="O98" s="72"/>
    </row>
    <row r="99">
      <c r="B99" s="139"/>
      <c r="O99" s="72"/>
    </row>
    <row r="100">
      <c r="B100" s="139"/>
      <c r="O100" s="72"/>
    </row>
    <row r="101">
      <c r="B101" s="139"/>
      <c r="O101" s="72"/>
    </row>
    <row r="102">
      <c r="B102" s="139"/>
      <c r="O102" s="72"/>
    </row>
    <row r="103">
      <c r="B103" s="139"/>
      <c r="O103" s="72"/>
    </row>
    <row r="104">
      <c r="B104" s="139"/>
      <c r="O104" s="72"/>
    </row>
    <row r="105">
      <c r="B105" s="139"/>
      <c r="O105" s="72"/>
    </row>
    <row r="106">
      <c r="B106" s="139"/>
      <c r="O106" s="72"/>
    </row>
    <row r="107">
      <c r="B107" s="139"/>
      <c r="O107" s="72"/>
    </row>
    <row r="108">
      <c r="B108" s="139"/>
      <c r="O108" s="72"/>
    </row>
    <row r="109">
      <c r="B109" s="139"/>
      <c r="O109" s="72"/>
    </row>
    <row r="110">
      <c r="B110" s="139"/>
      <c r="O110" s="72"/>
    </row>
    <row r="111">
      <c r="B111" s="139"/>
      <c r="O111" s="72"/>
    </row>
    <row r="112">
      <c r="B112" s="139"/>
      <c r="O112" s="72"/>
    </row>
    <row r="113">
      <c r="B113" s="139"/>
      <c r="O113" s="72"/>
    </row>
    <row r="114">
      <c r="B114" s="139"/>
      <c r="O114" s="72"/>
    </row>
    <row r="115">
      <c r="B115" s="139"/>
      <c r="O115" s="72"/>
    </row>
    <row r="116">
      <c r="B116" s="139"/>
      <c r="O116" s="72"/>
    </row>
    <row r="117">
      <c r="B117" s="139"/>
      <c r="O117" s="72"/>
    </row>
    <row r="118">
      <c r="B118" s="139"/>
      <c r="O118" s="72"/>
    </row>
    <row r="119">
      <c r="B119" s="139"/>
      <c r="O119" s="72"/>
    </row>
    <row r="120">
      <c r="B120" s="139"/>
      <c r="O120" s="72"/>
    </row>
    <row r="121">
      <c r="B121" s="139"/>
      <c r="O121" s="72"/>
    </row>
    <row r="122">
      <c r="B122" s="139"/>
      <c r="O122" s="72"/>
    </row>
    <row r="123">
      <c r="B123" s="139"/>
      <c r="O123" s="72"/>
    </row>
    <row r="124">
      <c r="B124" s="139"/>
      <c r="O124" s="72"/>
    </row>
    <row r="125">
      <c r="B125" s="139"/>
      <c r="O125" s="72"/>
    </row>
    <row r="126">
      <c r="B126" s="139"/>
      <c r="O126" s="72"/>
    </row>
    <row r="127">
      <c r="B127" s="139"/>
      <c r="O127" s="72"/>
    </row>
    <row r="128">
      <c r="B128" s="139"/>
      <c r="O128" s="72"/>
    </row>
    <row r="129">
      <c r="B129" s="139"/>
      <c r="O129" s="72"/>
    </row>
    <row r="130">
      <c r="B130" s="139"/>
      <c r="O130" s="72"/>
    </row>
    <row r="131">
      <c r="B131" s="139"/>
      <c r="O131" s="72"/>
    </row>
    <row r="132">
      <c r="B132" s="139"/>
      <c r="O132" s="72"/>
    </row>
    <row r="133">
      <c r="B133" s="139"/>
      <c r="O133" s="72"/>
    </row>
    <row r="134">
      <c r="B134" s="139"/>
      <c r="O134" s="72"/>
    </row>
    <row r="135">
      <c r="B135" s="139"/>
      <c r="O135" s="72"/>
    </row>
    <row r="136">
      <c r="B136" s="139"/>
      <c r="O136" s="72"/>
    </row>
    <row r="137">
      <c r="B137" s="139"/>
      <c r="O137" s="72"/>
    </row>
    <row r="138">
      <c r="B138" s="139"/>
      <c r="O138" s="72"/>
    </row>
    <row r="139">
      <c r="B139" s="139"/>
      <c r="O139" s="72"/>
    </row>
    <row r="140">
      <c r="B140" s="139"/>
      <c r="O140" s="72"/>
    </row>
    <row r="141">
      <c r="B141" s="139"/>
      <c r="O141" s="72"/>
    </row>
    <row r="142">
      <c r="B142" s="139"/>
      <c r="O142" s="72"/>
    </row>
    <row r="143">
      <c r="B143" s="139"/>
      <c r="O143" s="72"/>
    </row>
    <row r="144">
      <c r="B144" s="139"/>
      <c r="O144" s="72"/>
    </row>
    <row r="145">
      <c r="B145" s="139"/>
      <c r="O145" s="72"/>
    </row>
    <row r="146">
      <c r="B146" s="139"/>
      <c r="O146" s="72"/>
    </row>
    <row r="147">
      <c r="B147" s="139"/>
      <c r="O147" s="72"/>
    </row>
    <row r="148">
      <c r="B148" s="139"/>
      <c r="O148" s="72"/>
    </row>
    <row r="149">
      <c r="B149" s="139"/>
      <c r="O149" s="72"/>
    </row>
    <row r="150">
      <c r="B150" s="139"/>
      <c r="O150" s="72"/>
    </row>
    <row r="151">
      <c r="B151" s="139"/>
      <c r="O151" s="72"/>
    </row>
    <row r="152">
      <c r="B152" s="139"/>
      <c r="O152" s="72"/>
    </row>
    <row r="153">
      <c r="B153" s="139"/>
      <c r="O153" s="72"/>
    </row>
    <row r="154">
      <c r="B154" s="139"/>
      <c r="O154" s="72"/>
    </row>
    <row r="155">
      <c r="B155" s="139"/>
      <c r="O155" s="72"/>
    </row>
    <row r="156">
      <c r="B156" s="139"/>
      <c r="O156" s="72"/>
    </row>
    <row r="157">
      <c r="B157" s="139"/>
      <c r="O157" s="72"/>
    </row>
    <row r="158">
      <c r="B158" s="139"/>
      <c r="O158" s="72"/>
    </row>
    <row r="159">
      <c r="B159" s="139"/>
      <c r="O159" s="72"/>
    </row>
    <row r="160">
      <c r="B160" s="139"/>
      <c r="O160" s="72"/>
    </row>
    <row r="161">
      <c r="B161" s="139"/>
      <c r="O161" s="72"/>
    </row>
    <row r="162">
      <c r="B162" s="139"/>
      <c r="O162" s="72"/>
    </row>
    <row r="163">
      <c r="B163" s="139"/>
      <c r="O163" s="72"/>
    </row>
    <row r="164">
      <c r="B164" s="139"/>
      <c r="O164" s="72"/>
    </row>
    <row r="165">
      <c r="B165" s="139"/>
      <c r="O165" s="72"/>
    </row>
    <row r="166">
      <c r="B166" s="139"/>
      <c r="O166" s="72"/>
    </row>
    <row r="167">
      <c r="B167" s="139"/>
      <c r="O167" s="72"/>
    </row>
    <row r="168">
      <c r="B168" s="139"/>
      <c r="O168" s="72"/>
    </row>
    <row r="169">
      <c r="B169" s="139"/>
      <c r="O169" s="72"/>
    </row>
    <row r="170">
      <c r="B170" s="139"/>
      <c r="O170" s="72"/>
    </row>
    <row r="171">
      <c r="B171" s="139"/>
      <c r="O171" s="72"/>
    </row>
    <row r="172">
      <c r="B172" s="139"/>
      <c r="O172" s="72"/>
    </row>
    <row r="173">
      <c r="B173" s="139"/>
      <c r="O173" s="72"/>
    </row>
    <row r="174">
      <c r="B174" s="139"/>
      <c r="O174" s="72"/>
    </row>
    <row r="175">
      <c r="B175" s="139"/>
      <c r="O175" s="72"/>
    </row>
    <row r="176">
      <c r="B176" s="139"/>
      <c r="O176" s="72"/>
    </row>
    <row r="177">
      <c r="B177" s="139"/>
      <c r="O177" s="72"/>
    </row>
    <row r="178">
      <c r="B178" s="139"/>
      <c r="O178" s="72"/>
    </row>
    <row r="179">
      <c r="B179" s="139"/>
      <c r="O179" s="72"/>
    </row>
    <row r="180">
      <c r="B180" s="139"/>
      <c r="O180" s="72"/>
    </row>
    <row r="181">
      <c r="B181" s="139"/>
      <c r="O181" s="72"/>
    </row>
    <row r="182">
      <c r="B182" s="139"/>
      <c r="O182" s="72"/>
    </row>
    <row r="183">
      <c r="B183" s="139"/>
      <c r="O183" s="72"/>
    </row>
    <row r="184">
      <c r="B184" s="139"/>
      <c r="O184" s="72"/>
    </row>
    <row r="185">
      <c r="B185" s="139"/>
      <c r="O185" s="72"/>
    </row>
    <row r="186">
      <c r="B186" s="139"/>
      <c r="O186" s="72"/>
    </row>
    <row r="187">
      <c r="B187" s="139"/>
      <c r="O187" s="72"/>
    </row>
    <row r="188">
      <c r="B188" s="139"/>
      <c r="O188" s="72"/>
    </row>
    <row r="189">
      <c r="B189" s="139"/>
      <c r="O189" s="72"/>
    </row>
    <row r="190">
      <c r="B190" s="139"/>
      <c r="O190" s="72"/>
    </row>
    <row r="191">
      <c r="B191" s="139"/>
      <c r="O191" s="72"/>
    </row>
    <row r="192">
      <c r="B192" s="139"/>
      <c r="O192" s="72"/>
    </row>
    <row r="193">
      <c r="B193" s="139"/>
      <c r="O193" s="72"/>
    </row>
    <row r="194">
      <c r="B194" s="139"/>
      <c r="O194" s="72"/>
    </row>
    <row r="195">
      <c r="B195" s="139"/>
      <c r="O195" s="72"/>
    </row>
    <row r="196">
      <c r="B196" s="139"/>
      <c r="O196" s="72"/>
    </row>
    <row r="197">
      <c r="B197" s="139"/>
      <c r="O197" s="72"/>
    </row>
    <row r="198">
      <c r="B198" s="139"/>
      <c r="O198" s="72"/>
    </row>
    <row r="199">
      <c r="B199" s="139"/>
      <c r="O199" s="72"/>
    </row>
    <row r="200">
      <c r="B200" s="139"/>
      <c r="O200" s="72"/>
    </row>
    <row r="201">
      <c r="B201" s="139"/>
      <c r="O201" s="72"/>
    </row>
    <row r="202">
      <c r="B202" s="139"/>
      <c r="O202" s="72"/>
    </row>
    <row r="203">
      <c r="B203" s="139"/>
      <c r="O203" s="72"/>
    </row>
    <row r="204">
      <c r="B204" s="139"/>
      <c r="O204" s="72"/>
    </row>
    <row r="205">
      <c r="B205" s="139"/>
      <c r="O205" s="72"/>
    </row>
    <row r="206">
      <c r="B206" s="139"/>
      <c r="O206" s="72"/>
    </row>
    <row r="207">
      <c r="B207" s="139"/>
      <c r="O207" s="72"/>
    </row>
    <row r="208">
      <c r="B208" s="139"/>
      <c r="O208" s="72"/>
    </row>
    <row r="209">
      <c r="B209" s="139"/>
      <c r="O209" s="72"/>
    </row>
    <row r="210">
      <c r="B210" s="139"/>
      <c r="O210" s="72"/>
    </row>
    <row r="211">
      <c r="B211" s="139"/>
      <c r="O211" s="72"/>
    </row>
    <row r="212">
      <c r="B212" s="139"/>
      <c r="O212" s="72"/>
    </row>
    <row r="213">
      <c r="B213" s="139"/>
      <c r="O213" s="72"/>
    </row>
    <row r="214">
      <c r="B214" s="139"/>
      <c r="O214" s="72"/>
    </row>
    <row r="215">
      <c r="B215" s="139"/>
      <c r="O215" s="72"/>
    </row>
    <row r="216">
      <c r="B216" s="139"/>
      <c r="O216" s="72"/>
    </row>
    <row r="217">
      <c r="B217" s="139"/>
      <c r="O217" s="72"/>
    </row>
    <row r="218">
      <c r="B218" s="139"/>
      <c r="O218" s="72"/>
    </row>
    <row r="219">
      <c r="B219" s="139"/>
      <c r="O219" s="72"/>
    </row>
    <row r="220">
      <c r="B220" s="139"/>
      <c r="O220" s="72"/>
    </row>
    <row r="221">
      <c r="B221" s="139"/>
      <c r="O221" s="72"/>
    </row>
    <row r="222">
      <c r="B222" s="139"/>
      <c r="O222" s="72"/>
    </row>
    <row r="223">
      <c r="B223" s="139"/>
      <c r="O223" s="72"/>
    </row>
    <row r="224">
      <c r="B224" s="139"/>
      <c r="O224" s="72"/>
    </row>
    <row r="225">
      <c r="B225" s="139"/>
      <c r="O225" s="72"/>
    </row>
    <row r="226">
      <c r="B226" s="139"/>
      <c r="O226" s="72"/>
    </row>
    <row r="227">
      <c r="B227" s="139"/>
      <c r="O227" s="72"/>
    </row>
    <row r="228">
      <c r="B228" s="139"/>
      <c r="O228" s="72"/>
    </row>
    <row r="229">
      <c r="B229" s="139"/>
      <c r="O229" s="72"/>
    </row>
    <row r="230">
      <c r="B230" s="139"/>
      <c r="O230" s="72"/>
    </row>
    <row r="231">
      <c r="B231" s="139"/>
      <c r="O231" s="72"/>
    </row>
    <row r="232">
      <c r="B232" s="139"/>
      <c r="O232" s="72"/>
    </row>
    <row r="233">
      <c r="B233" s="139"/>
      <c r="O233" s="72"/>
    </row>
    <row r="234">
      <c r="B234" s="139"/>
      <c r="O234" s="72"/>
    </row>
    <row r="235">
      <c r="B235" s="139"/>
      <c r="O235" s="72"/>
    </row>
    <row r="236">
      <c r="B236" s="139"/>
      <c r="O236" s="72"/>
    </row>
    <row r="237">
      <c r="B237" s="139"/>
      <c r="O237" s="72"/>
    </row>
    <row r="238">
      <c r="B238" s="139"/>
      <c r="O238" s="72"/>
    </row>
    <row r="239">
      <c r="B239" s="139"/>
      <c r="O239" s="72"/>
    </row>
    <row r="240">
      <c r="B240" s="139"/>
      <c r="O240" s="72"/>
    </row>
    <row r="241">
      <c r="B241" s="139"/>
      <c r="O241" s="72"/>
    </row>
    <row r="242">
      <c r="B242" s="139"/>
      <c r="O242" s="72"/>
    </row>
    <row r="243">
      <c r="B243" s="139"/>
      <c r="O243" s="72"/>
    </row>
    <row r="244">
      <c r="B244" s="139"/>
      <c r="O244" s="72"/>
    </row>
    <row r="245">
      <c r="B245" s="139"/>
      <c r="O245" s="72"/>
    </row>
    <row r="246">
      <c r="B246" s="139"/>
      <c r="O246" s="72"/>
    </row>
    <row r="247">
      <c r="B247" s="139"/>
      <c r="O247" s="72"/>
    </row>
    <row r="248">
      <c r="B248" s="139"/>
      <c r="O248" s="72"/>
    </row>
    <row r="249">
      <c r="B249" s="139"/>
      <c r="O249" s="72"/>
    </row>
    <row r="250">
      <c r="B250" s="139"/>
      <c r="O250" s="72"/>
    </row>
    <row r="251">
      <c r="B251" s="139"/>
      <c r="O251" s="72"/>
    </row>
    <row r="252">
      <c r="B252" s="139"/>
      <c r="O252" s="72"/>
    </row>
    <row r="253">
      <c r="B253" s="139"/>
      <c r="O253" s="72"/>
    </row>
    <row r="254">
      <c r="B254" s="139"/>
      <c r="O254" s="72"/>
    </row>
    <row r="255">
      <c r="B255" s="139"/>
      <c r="O255" s="72"/>
    </row>
    <row r="256">
      <c r="B256" s="139"/>
      <c r="O256" s="72"/>
    </row>
    <row r="257">
      <c r="B257" s="139"/>
      <c r="O257" s="72"/>
    </row>
    <row r="258">
      <c r="B258" s="139"/>
      <c r="O258" s="72"/>
    </row>
    <row r="259">
      <c r="B259" s="139"/>
      <c r="O259" s="72"/>
    </row>
    <row r="260">
      <c r="B260" s="139"/>
      <c r="O260" s="72"/>
    </row>
    <row r="261">
      <c r="B261" s="139"/>
      <c r="O261" s="72"/>
    </row>
    <row r="262">
      <c r="B262" s="139"/>
      <c r="O262" s="72"/>
    </row>
    <row r="263">
      <c r="B263" s="139"/>
      <c r="O263" s="72"/>
    </row>
    <row r="264">
      <c r="B264" s="139"/>
      <c r="O264" s="72"/>
    </row>
    <row r="265">
      <c r="B265" s="139"/>
      <c r="O265" s="72"/>
    </row>
    <row r="266">
      <c r="B266" s="139"/>
      <c r="O266" s="72"/>
    </row>
    <row r="267">
      <c r="B267" s="139"/>
      <c r="O267" s="72"/>
    </row>
    <row r="268">
      <c r="B268" s="139"/>
      <c r="O268" s="72"/>
    </row>
    <row r="269">
      <c r="B269" s="139"/>
      <c r="O269" s="72"/>
    </row>
    <row r="270">
      <c r="B270" s="139"/>
      <c r="O270" s="72"/>
    </row>
    <row r="271">
      <c r="B271" s="139"/>
      <c r="O271" s="72"/>
    </row>
    <row r="272">
      <c r="B272" s="139"/>
      <c r="O272" s="72"/>
    </row>
    <row r="273">
      <c r="B273" s="139"/>
      <c r="O273" s="72"/>
    </row>
    <row r="274">
      <c r="B274" s="139"/>
      <c r="O274" s="72"/>
    </row>
    <row r="275">
      <c r="B275" s="139"/>
      <c r="O275" s="72"/>
    </row>
    <row r="276">
      <c r="B276" s="139"/>
      <c r="O276" s="72"/>
    </row>
    <row r="277">
      <c r="B277" s="139"/>
      <c r="O277" s="72"/>
    </row>
    <row r="278">
      <c r="B278" s="139"/>
      <c r="O278" s="72"/>
    </row>
    <row r="279">
      <c r="B279" s="139"/>
      <c r="O279" s="72"/>
    </row>
    <row r="280">
      <c r="B280" s="139"/>
      <c r="O280" s="72"/>
    </row>
    <row r="281">
      <c r="B281" s="139"/>
      <c r="O281" s="72"/>
    </row>
    <row r="282">
      <c r="B282" s="139"/>
      <c r="O282" s="72"/>
    </row>
    <row r="283">
      <c r="B283" s="139"/>
      <c r="O283" s="72"/>
    </row>
    <row r="284">
      <c r="B284" s="139"/>
      <c r="O284" s="72"/>
    </row>
    <row r="285">
      <c r="B285" s="139"/>
      <c r="O285" s="72"/>
    </row>
    <row r="286">
      <c r="B286" s="139"/>
      <c r="O286" s="72"/>
    </row>
    <row r="287">
      <c r="B287" s="139"/>
      <c r="O287" s="72"/>
    </row>
    <row r="288">
      <c r="B288" s="139"/>
      <c r="O288" s="72"/>
    </row>
    <row r="289">
      <c r="B289" s="139"/>
      <c r="O289" s="72"/>
    </row>
    <row r="290">
      <c r="B290" s="139"/>
      <c r="O290" s="72"/>
    </row>
    <row r="291">
      <c r="B291" s="139"/>
      <c r="O291" s="72"/>
    </row>
    <row r="292">
      <c r="B292" s="139"/>
      <c r="O292" s="72"/>
    </row>
    <row r="293">
      <c r="B293" s="139"/>
      <c r="O293" s="72"/>
    </row>
    <row r="294">
      <c r="B294" s="139"/>
      <c r="O294" s="72"/>
    </row>
    <row r="295">
      <c r="B295" s="139"/>
      <c r="O295" s="72"/>
    </row>
    <row r="296">
      <c r="B296" s="139"/>
      <c r="O296" s="72"/>
    </row>
    <row r="297">
      <c r="B297" s="139"/>
      <c r="O297" s="72"/>
    </row>
    <row r="298">
      <c r="B298" s="139"/>
      <c r="O298" s="72"/>
    </row>
    <row r="299">
      <c r="B299" s="139"/>
      <c r="O299" s="72"/>
    </row>
    <row r="300">
      <c r="B300" s="139"/>
      <c r="O300" s="72"/>
    </row>
    <row r="301">
      <c r="B301" s="139"/>
      <c r="O301" s="72"/>
    </row>
    <row r="302">
      <c r="B302" s="139"/>
      <c r="O302" s="72"/>
    </row>
    <row r="303">
      <c r="B303" s="139"/>
      <c r="O303" s="72"/>
    </row>
    <row r="304">
      <c r="B304" s="139"/>
      <c r="O304" s="72"/>
    </row>
    <row r="305">
      <c r="B305" s="139"/>
      <c r="O305" s="72"/>
    </row>
    <row r="306">
      <c r="B306" s="139"/>
      <c r="O306" s="72"/>
    </row>
    <row r="307">
      <c r="B307" s="139"/>
      <c r="O307" s="72"/>
    </row>
    <row r="308">
      <c r="B308" s="139"/>
      <c r="O308" s="72"/>
    </row>
    <row r="309">
      <c r="B309" s="139"/>
      <c r="O309" s="72"/>
    </row>
    <row r="310">
      <c r="B310" s="139"/>
      <c r="O310" s="72"/>
    </row>
    <row r="311">
      <c r="B311" s="139"/>
      <c r="O311" s="72"/>
    </row>
    <row r="312">
      <c r="B312" s="139"/>
      <c r="O312" s="72"/>
    </row>
    <row r="313">
      <c r="B313" s="139"/>
      <c r="O313" s="72"/>
    </row>
    <row r="314">
      <c r="B314" s="139"/>
      <c r="O314" s="72"/>
    </row>
    <row r="315">
      <c r="B315" s="139"/>
      <c r="O315" s="72"/>
    </row>
    <row r="316">
      <c r="B316" s="139"/>
      <c r="O316" s="72"/>
    </row>
    <row r="317">
      <c r="B317" s="139"/>
      <c r="O317" s="72"/>
    </row>
    <row r="318">
      <c r="B318" s="139"/>
      <c r="O318" s="72"/>
    </row>
    <row r="319">
      <c r="B319" s="139"/>
      <c r="O319" s="72"/>
    </row>
    <row r="320">
      <c r="B320" s="139"/>
      <c r="O320" s="72"/>
    </row>
    <row r="321">
      <c r="B321" s="139"/>
      <c r="O321" s="72"/>
    </row>
    <row r="322">
      <c r="B322" s="139"/>
      <c r="O322" s="72"/>
    </row>
    <row r="323">
      <c r="B323" s="139"/>
      <c r="O323" s="72"/>
    </row>
    <row r="324">
      <c r="B324" s="139"/>
      <c r="O324" s="72"/>
    </row>
    <row r="325">
      <c r="B325" s="139"/>
      <c r="O325" s="72"/>
    </row>
    <row r="326">
      <c r="B326" s="139"/>
      <c r="O326" s="72"/>
    </row>
    <row r="327">
      <c r="B327" s="139"/>
      <c r="O327" s="72"/>
    </row>
    <row r="328">
      <c r="B328" s="139"/>
      <c r="O328" s="72"/>
    </row>
    <row r="329">
      <c r="B329" s="139"/>
      <c r="O329" s="72"/>
    </row>
    <row r="330">
      <c r="B330" s="139"/>
      <c r="O330" s="72"/>
    </row>
    <row r="331">
      <c r="B331" s="139"/>
      <c r="O331" s="72"/>
    </row>
    <row r="332">
      <c r="B332" s="139"/>
      <c r="O332" s="72"/>
    </row>
    <row r="333">
      <c r="B333" s="139"/>
      <c r="O333" s="72"/>
    </row>
    <row r="334">
      <c r="B334" s="139"/>
      <c r="O334" s="72"/>
    </row>
    <row r="335">
      <c r="B335" s="139"/>
      <c r="O335" s="72"/>
    </row>
    <row r="336">
      <c r="B336" s="139"/>
      <c r="O336" s="72"/>
    </row>
    <row r="337">
      <c r="B337" s="139"/>
      <c r="O337" s="72"/>
    </row>
    <row r="338">
      <c r="B338" s="139"/>
      <c r="O338" s="72"/>
    </row>
    <row r="339">
      <c r="B339" s="139"/>
      <c r="O339" s="72"/>
    </row>
    <row r="340">
      <c r="B340" s="139"/>
      <c r="O340" s="72"/>
    </row>
    <row r="341">
      <c r="B341" s="139"/>
      <c r="O341" s="72"/>
    </row>
    <row r="342">
      <c r="B342" s="139"/>
      <c r="O342" s="72"/>
    </row>
    <row r="343">
      <c r="B343" s="139"/>
      <c r="O343" s="72"/>
    </row>
    <row r="344">
      <c r="B344" s="139"/>
      <c r="O344" s="72"/>
    </row>
    <row r="345">
      <c r="B345" s="139"/>
      <c r="O345" s="72"/>
    </row>
    <row r="346">
      <c r="B346" s="139"/>
      <c r="O346" s="72"/>
    </row>
    <row r="347">
      <c r="B347" s="139"/>
      <c r="O347" s="72"/>
    </row>
    <row r="348">
      <c r="B348" s="139"/>
      <c r="O348" s="72"/>
    </row>
    <row r="349">
      <c r="B349" s="139"/>
      <c r="O349" s="72"/>
    </row>
    <row r="350">
      <c r="B350" s="139"/>
      <c r="O350" s="72"/>
    </row>
    <row r="351">
      <c r="B351" s="139"/>
      <c r="O351" s="72"/>
    </row>
    <row r="352">
      <c r="B352" s="139"/>
      <c r="O352" s="72"/>
    </row>
    <row r="353">
      <c r="B353" s="139"/>
      <c r="O353" s="72"/>
    </row>
    <row r="354">
      <c r="B354" s="139"/>
      <c r="O354" s="72"/>
    </row>
    <row r="355">
      <c r="B355" s="139"/>
      <c r="O355" s="72"/>
    </row>
    <row r="356">
      <c r="B356" s="139"/>
      <c r="O356" s="72"/>
    </row>
    <row r="357">
      <c r="B357" s="139"/>
      <c r="O357" s="72"/>
    </row>
    <row r="358">
      <c r="B358" s="139"/>
      <c r="O358" s="72"/>
    </row>
    <row r="359">
      <c r="B359" s="139"/>
      <c r="O359" s="72"/>
    </row>
    <row r="360">
      <c r="B360" s="139"/>
      <c r="O360" s="72"/>
    </row>
    <row r="361">
      <c r="B361" s="139"/>
      <c r="O361" s="72"/>
    </row>
    <row r="362">
      <c r="B362" s="139"/>
      <c r="O362" s="72"/>
    </row>
    <row r="363">
      <c r="B363" s="139"/>
      <c r="O363" s="72"/>
    </row>
    <row r="364">
      <c r="B364" s="139"/>
      <c r="O364" s="72"/>
    </row>
    <row r="365">
      <c r="B365" s="139"/>
      <c r="O365" s="72"/>
    </row>
    <row r="366">
      <c r="B366" s="139"/>
      <c r="O366" s="72"/>
    </row>
    <row r="367">
      <c r="B367" s="139"/>
      <c r="O367" s="72"/>
    </row>
    <row r="368">
      <c r="B368" s="139"/>
      <c r="O368" s="72"/>
    </row>
    <row r="369">
      <c r="B369" s="139"/>
      <c r="O369" s="72"/>
    </row>
    <row r="370">
      <c r="B370" s="139"/>
      <c r="O370" s="72"/>
    </row>
    <row r="371">
      <c r="B371" s="139"/>
      <c r="O371" s="72"/>
    </row>
    <row r="372">
      <c r="B372" s="139"/>
      <c r="O372" s="72"/>
    </row>
    <row r="373">
      <c r="B373" s="139"/>
      <c r="O373" s="72"/>
    </row>
    <row r="374">
      <c r="B374" s="139"/>
      <c r="O374" s="72"/>
    </row>
    <row r="375">
      <c r="B375" s="139"/>
      <c r="O375" s="72"/>
    </row>
    <row r="376">
      <c r="B376" s="139"/>
      <c r="O376" s="72"/>
    </row>
    <row r="377">
      <c r="B377" s="139"/>
      <c r="O377" s="72"/>
    </row>
    <row r="378">
      <c r="B378" s="139"/>
      <c r="O378" s="72"/>
    </row>
    <row r="379">
      <c r="B379" s="139"/>
      <c r="O379" s="72"/>
    </row>
    <row r="380">
      <c r="B380" s="139"/>
      <c r="O380" s="72"/>
    </row>
    <row r="381">
      <c r="B381" s="139"/>
      <c r="O381" s="72"/>
    </row>
    <row r="382">
      <c r="B382" s="139"/>
      <c r="O382" s="72"/>
    </row>
    <row r="383">
      <c r="B383" s="139"/>
      <c r="O383" s="72"/>
    </row>
    <row r="384">
      <c r="B384" s="139"/>
      <c r="O384" s="72"/>
    </row>
    <row r="385">
      <c r="B385" s="139"/>
      <c r="O385" s="72"/>
    </row>
    <row r="386">
      <c r="B386" s="139"/>
      <c r="O386" s="72"/>
    </row>
    <row r="387">
      <c r="B387" s="139"/>
      <c r="O387" s="72"/>
    </row>
    <row r="388">
      <c r="B388" s="139"/>
      <c r="O388" s="72"/>
    </row>
    <row r="389">
      <c r="B389" s="139"/>
      <c r="O389" s="72"/>
    </row>
    <row r="390">
      <c r="B390" s="139"/>
      <c r="O390" s="72"/>
    </row>
    <row r="391">
      <c r="B391" s="139"/>
      <c r="O391" s="72"/>
    </row>
    <row r="392">
      <c r="B392" s="139"/>
      <c r="O392" s="72"/>
    </row>
    <row r="393">
      <c r="B393" s="139"/>
      <c r="O393" s="72"/>
    </row>
    <row r="394">
      <c r="B394" s="139"/>
      <c r="O394" s="72"/>
    </row>
    <row r="395">
      <c r="B395" s="139"/>
      <c r="O395" s="72"/>
    </row>
    <row r="396">
      <c r="B396" s="139"/>
      <c r="O396" s="72"/>
    </row>
    <row r="397">
      <c r="B397" s="139"/>
      <c r="O397" s="72"/>
    </row>
    <row r="398">
      <c r="B398" s="139"/>
      <c r="O398" s="72"/>
    </row>
    <row r="399">
      <c r="B399" s="139"/>
      <c r="O399" s="72"/>
    </row>
    <row r="400">
      <c r="B400" s="139"/>
      <c r="O400" s="72"/>
    </row>
    <row r="401">
      <c r="B401" s="139"/>
      <c r="O401" s="72"/>
    </row>
    <row r="402">
      <c r="B402" s="139"/>
      <c r="O402" s="72"/>
    </row>
    <row r="403">
      <c r="B403" s="139"/>
      <c r="O403" s="72"/>
    </row>
    <row r="404">
      <c r="B404" s="139"/>
      <c r="O404" s="72"/>
    </row>
    <row r="405">
      <c r="B405" s="139"/>
      <c r="O405" s="72"/>
    </row>
    <row r="406">
      <c r="B406" s="139"/>
      <c r="O406" s="72"/>
    </row>
    <row r="407">
      <c r="B407" s="139"/>
      <c r="O407" s="72"/>
    </row>
    <row r="408">
      <c r="B408" s="139"/>
      <c r="O408" s="72"/>
    </row>
    <row r="409">
      <c r="B409" s="139"/>
      <c r="O409" s="72"/>
    </row>
    <row r="410">
      <c r="B410" s="139"/>
      <c r="O410" s="72"/>
    </row>
    <row r="411">
      <c r="B411" s="139"/>
      <c r="O411" s="72"/>
    </row>
    <row r="412">
      <c r="B412" s="139"/>
      <c r="O412" s="72"/>
    </row>
    <row r="413">
      <c r="B413" s="139"/>
      <c r="O413" s="72"/>
    </row>
    <row r="414">
      <c r="B414" s="139"/>
      <c r="O414" s="72"/>
    </row>
    <row r="415">
      <c r="B415" s="139"/>
      <c r="O415" s="72"/>
    </row>
    <row r="416">
      <c r="B416" s="139"/>
      <c r="O416" s="72"/>
    </row>
    <row r="417">
      <c r="B417" s="139"/>
      <c r="O417" s="72"/>
    </row>
    <row r="418">
      <c r="B418" s="139"/>
      <c r="O418" s="72"/>
    </row>
    <row r="419">
      <c r="B419" s="139"/>
      <c r="O419" s="72"/>
    </row>
    <row r="420">
      <c r="B420" s="139"/>
      <c r="O420" s="72"/>
    </row>
    <row r="421">
      <c r="B421" s="139"/>
      <c r="O421" s="72"/>
    </row>
    <row r="422">
      <c r="B422" s="139"/>
      <c r="O422" s="72"/>
    </row>
    <row r="423">
      <c r="B423" s="139"/>
      <c r="O423" s="72"/>
    </row>
    <row r="424">
      <c r="B424" s="139"/>
      <c r="O424" s="72"/>
    </row>
    <row r="425">
      <c r="B425" s="139"/>
      <c r="O425" s="72"/>
    </row>
    <row r="426">
      <c r="B426" s="139"/>
      <c r="O426" s="72"/>
    </row>
    <row r="427">
      <c r="B427" s="139"/>
      <c r="O427" s="72"/>
    </row>
    <row r="428">
      <c r="B428" s="139"/>
      <c r="O428" s="72"/>
    </row>
    <row r="429">
      <c r="B429" s="139"/>
      <c r="O429" s="72"/>
    </row>
    <row r="430">
      <c r="B430" s="139"/>
      <c r="O430" s="72"/>
    </row>
    <row r="431">
      <c r="B431" s="139"/>
      <c r="O431" s="72"/>
    </row>
    <row r="432">
      <c r="B432" s="139"/>
      <c r="O432" s="72"/>
    </row>
    <row r="433">
      <c r="B433" s="139"/>
      <c r="O433" s="72"/>
    </row>
    <row r="434">
      <c r="B434" s="139"/>
      <c r="O434" s="72"/>
    </row>
    <row r="435">
      <c r="B435" s="139"/>
      <c r="O435" s="72"/>
    </row>
    <row r="436">
      <c r="B436" s="139"/>
      <c r="O436" s="72"/>
    </row>
    <row r="437">
      <c r="B437" s="139"/>
      <c r="O437" s="72"/>
    </row>
    <row r="438">
      <c r="B438" s="139"/>
      <c r="O438" s="72"/>
    </row>
    <row r="439">
      <c r="B439" s="139"/>
      <c r="O439" s="72"/>
    </row>
    <row r="440">
      <c r="B440" s="139"/>
      <c r="O440" s="72"/>
    </row>
    <row r="441">
      <c r="B441" s="139"/>
      <c r="O441" s="72"/>
    </row>
    <row r="442">
      <c r="B442" s="139"/>
      <c r="O442" s="72"/>
    </row>
    <row r="443">
      <c r="B443" s="139"/>
      <c r="O443" s="72"/>
    </row>
    <row r="444">
      <c r="B444" s="139"/>
      <c r="O444" s="72"/>
    </row>
    <row r="445">
      <c r="B445" s="139"/>
      <c r="O445" s="72"/>
    </row>
    <row r="446">
      <c r="B446" s="139"/>
      <c r="O446" s="72"/>
    </row>
    <row r="447">
      <c r="B447" s="139"/>
      <c r="O447" s="72"/>
    </row>
    <row r="448">
      <c r="B448" s="139"/>
      <c r="O448" s="72"/>
    </row>
    <row r="449">
      <c r="B449" s="139"/>
      <c r="O449" s="72"/>
    </row>
    <row r="450">
      <c r="B450" s="139"/>
      <c r="O450" s="72"/>
    </row>
    <row r="451">
      <c r="B451" s="139"/>
      <c r="O451" s="72"/>
    </row>
    <row r="452">
      <c r="B452" s="139"/>
      <c r="O452" s="72"/>
    </row>
    <row r="453">
      <c r="B453" s="139"/>
      <c r="O453" s="72"/>
    </row>
    <row r="454">
      <c r="B454" s="139"/>
      <c r="O454" s="72"/>
    </row>
    <row r="455">
      <c r="B455" s="139"/>
      <c r="O455" s="72"/>
    </row>
    <row r="456">
      <c r="B456" s="139"/>
      <c r="O456" s="72"/>
    </row>
    <row r="457">
      <c r="B457" s="139"/>
      <c r="O457" s="72"/>
    </row>
    <row r="458">
      <c r="B458" s="139"/>
      <c r="O458" s="72"/>
    </row>
    <row r="459">
      <c r="B459" s="139"/>
      <c r="O459" s="72"/>
    </row>
    <row r="460">
      <c r="B460" s="139"/>
      <c r="O460" s="72"/>
    </row>
    <row r="461">
      <c r="B461" s="139"/>
      <c r="O461" s="72"/>
    </row>
    <row r="462">
      <c r="B462" s="139"/>
      <c r="O462" s="72"/>
    </row>
    <row r="463">
      <c r="B463" s="139"/>
      <c r="O463" s="72"/>
    </row>
    <row r="464">
      <c r="B464" s="139"/>
      <c r="O464" s="72"/>
    </row>
    <row r="465">
      <c r="B465" s="139"/>
      <c r="O465" s="72"/>
    </row>
    <row r="466">
      <c r="B466" s="139"/>
      <c r="O466" s="72"/>
    </row>
    <row r="467">
      <c r="B467" s="139"/>
      <c r="O467" s="72"/>
    </row>
    <row r="468">
      <c r="B468" s="139"/>
      <c r="O468" s="72"/>
    </row>
    <row r="469">
      <c r="B469" s="139"/>
      <c r="O469" s="72"/>
    </row>
    <row r="470">
      <c r="B470" s="139"/>
      <c r="O470" s="72"/>
    </row>
    <row r="471">
      <c r="B471" s="139"/>
      <c r="O471" s="72"/>
    </row>
    <row r="472">
      <c r="B472" s="139"/>
      <c r="O472" s="72"/>
    </row>
    <row r="473">
      <c r="B473" s="139"/>
      <c r="O473" s="72"/>
    </row>
    <row r="474">
      <c r="B474" s="139"/>
      <c r="O474" s="72"/>
    </row>
    <row r="475">
      <c r="B475" s="139"/>
      <c r="O475" s="72"/>
    </row>
    <row r="476">
      <c r="B476" s="139"/>
      <c r="O476" s="72"/>
    </row>
    <row r="477">
      <c r="B477" s="139"/>
      <c r="O477" s="72"/>
    </row>
    <row r="478">
      <c r="B478" s="139"/>
      <c r="O478" s="72"/>
    </row>
    <row r="479">
      <c r="B479" s="139"/>
      <c r="O479" s="72"/>
    </row>
    <row r="480">
      <c r="B480" s="139"/>
      <c r="O480" s="72"/>
    </row>
    <row r="481">
      <c r="B481" s="139"/>
      <c r="O481" s="72"/>
    </row>
    <row r="482">
      <c r="B482" s="139"/>
      <c r="O482" s="72"/>
    </row>
    <row r="483">
      <c r="B483" s="139"/>
      <c r="O483" s="72"/>
    </row>
    <row r="484">
      <c r="B484" s="139"/>
      <c r="O484" s="72"/>
    </row>
    <row r="485">
      <c r="B485" s="139"/>
      <c r="O485" s="72"/>
    </row>
    <row r="486">
      <c r="B486" s="139"/>
      <c r="O486" s="72"/>
    </row>
    <row r="487">
      <c r="B487" s="139"/>
      <c r="O487" s="72"/>
    </row>
    <row r="488">
      <c r="B488" s="139"/>
      <c r="O488" s="72"/>
    </row>
    <row r="489">
      <c r="B489" s="139"/>
      <c r="O489" s="72"/>
    </row>
    <row r="490">
      <c r="B490" s="139"/>
      <c r="O490" s="72"/>
    </row>
    <row r="491">
      <c r="B491" s="139"/>
      <c r="O491" s="72"/>
    </row>
    <row r="492">
      <c r="B492" s="139"/>
      <c r="O492" s="72"/>
    </row>
    <row r="493">
      <c r="B493" s="139"/>
      <c r="O493" s="72"/>
    </row>
    <row r="494">
      <c r="B494" s="139"/>
      <c r="O494" s="72"/>
    </row>
    <row r="495">
      <c r="B495" s="139"/>
      <c r="O495" s="72"/>
    </row>
    <row r="496">
      <c r="B496" s="139"/>
      <c r="O496" s="72"/>
    </row>
    <row r="497">
      <c r="B497" s="139"/>
      <c r="O497" s="72"/>
    </row>
    <row r="498">
      <c r="B498" s="139"/>
      <c r="O498" s="72"/>
    </row>
    <row r="499">
      <c r="B499" s="139"/>
      <c r="O499" s="72"/>
    </row>
    <row r="500">
      <c r="B500" s="139"/>
      <c r="O500" s="72"/>
    </row>
    <row r="501">
      <c r="B501" s="139"/>
      <c r="O501" s="72"/>
    </row>
    <row r="502">
      <c r="B502" s="139"/>
      <c r="O502" s="72"/>
    </row>
    <row r="503">
      <c r="B503" s="139"/>
      <c r="O503" s="72"/>
    </row>
    <row r="504">
      <c r="B504" s="139"/>
      <c r="O504" s="72"/>
    </row>
    <row r="505">
      <c r="B505" s="139"/>
      <c r="O505" s="72"/>
    </row>
    <row r="506">
      <c r="B506" s="139"/>
      <c r="O506" s="72"/>
    </row>
    <row r="507">
      <c r="B507" s="139"/>
      <c r="O507" s="72"/>
    </row>
    <row r="508">
      <c r="B508" s="139"/>
      <c r="O508" s="72"/>
    </row>
    <row r="509">
      <c r="B509" s="139"/>
      <c r="O509" s="72"/>
    </row>
    <row r="510">
      <c r="B510" s="139"/>
      <c r="O510" s="72"/>
    </row>
    <row r="511">
      <c r="B511" s="139"/>
      <c r="O511" s="72"/>
    </row>
    <row r="512">
      <c r="B512" s="139"/>
      <c r="O512" s="72"/>
    </row>
    <row r="513">
      <c r="B513" s="139"/>
      <c r="O513" s="72"/>
    </row>
    <row r="514">
      <c r="B514" s="139"/>
      <c r="O514" s="72"/>
    </row>
    <row r="515">
      <c r="B515" s="139"/>
      <c r="O515" s="72"/>
    </row>
    <row r="516">
      <c r="B516" s="139"/>
      <c r="O516" s="72"/>
    </row>
    <row r="517">
      <c r="B517" s="139"/>
      <c r="O517" s="72"/>
    </row>
    <row r="518">
      <c r="B518" s="139"/>
      <c r="O518" s="72"/>
    </row>
    <row r="519">
      <c r="B519" s="139"/>
      <c r="O519" s="72"/>
    </row>
    <row r="520">
      <c r="B520" s="139"/>
      <c r="O520" s="72"/>
    </row>
    <row r="521">
      <c r="B521" s="139"/>
      <c r="O521" s="72"/>
    </row>
    <row r="522">
      <c r="B522" s="139"/>
      <c r="O522" s="72"/>
    </row>
    <row r="523">
      <c r="B523" s="139"/>
      <c r="O523" s="72"/>
    </row>
    <row r="524">
      <c r="B524" s="139"/>
      <c r="O524" s="72"/>
    </row>
    <row r="525">
      <c r="B525" s="139"/>
      <c r="O525" s="72"/>
    </row>
    <row r="526">
      <c r="B526" s="139"/>
      <c r="O526" s="72"/>
    </row>
    <row r="527">
      <c r="B527" s="139"/>
      <c r="O527" s="72"/>
    </row>
    <row r="528">
      <c r="B528" s="139"/>
      <c r="O528" s="72"/>
    </row>
    <row r="529">
      <c r="B529" s="139"/>
      <c r="O529" s="72"/>
    </row>
    <row r="530">
      <c r="B530" s="139"/>
      <c r="O530" s="72"/>
    </row>
    <row r="531">
      <c r="B531" s="139"/>
      <c r="O531" s="72"/>
    </row>
    <row r="532">
      <c r="B532" s="139"/>
      <c r="O532" s="72"/>
    </row>
    <row r="533">
      <c r="B533" s="139"/>
      <c r="O533" s="72"/>
    </row>
    <row r="534">
      <c r="B534" s="139"/>
      <c r="O534" s="72"/>
    </row>
    <row r="535">
      <c r="B535" s="139"/>
      <c r="O535" s="72"/>
    </row>
    <row r="536">
      <c r="B536" s="139"/>
      <c r="O536" s="72"/>
    </row>
    <row r="537">
      <c r="B537" s="139"/>
      <c r="O537" s="72"/>
    </row>
    <row r="538">
      <c r="B538" s="139"/>
      <c r="O538" s="72"/>
    </row>
    <row r="539">
      <c r="B539" s="139"/>
      <c r="O539" s="72"/>
    </row>
    <row r="540">
      <c r="B540" s="139"/>
      <c r="O540" s="72"/>
    </row>
    <row r="541">
      <c r="B541" s="139"/>
      <c r="O541" s="72"/>
    </row>
    <row r="542">
      <c r="B542" s="139"/>
      <c r="O542" s="72"/>
    </row>
    <row r="543">
      <c r="B543" s="139"/>
      <c r="O543" s="72"/>
    </row>
    <row r="544">
      <c r="B544" s="139"/>
      <c r="O544" s="72"/>
    </row>
    <row r="545">
      <c r="B545" s="139"/>
      <c r="O545" s="72"/>
    </row>
    <row r="546">
      <c r="B546" s="139"/>
      <c r="O546" s="72"/>
    </row>
    <row r="547">
      <c r="B547" s="139"/>
      <c r="O547" s="72"/>
    </row>
    <row r="548">
      <c r="B548" s="139"/>
      <c r="O548" s="72"/>
    </row>
    <row r="549">
      <c r="B549" s="139"/>
      <c r="O549" s="72"/>
    </row>
    <row r="550">
      <c r="B550" s="139"/>
      <c r="O550" s="72"/>
    </row>
    <row r="551">
      <c r="B551" s="139"/>
      <c r="O551" s="72"/>
    </row>
    <row r="552">
      <c r="B552" s="139"/>
      <c r="O552" s="72"/>
    </row>
    <row r="553">
      <c r="B553" s="139"/>
      <c r="O553" s="72"/>
    </row>
    <row r="554">
      <c r="B554" s="139"/>
      <c r="O554" s="72"/>
    </row>
    <row r="555">
      <c r="B555" s="139"/>
      <c r="O555" s="72"/>
    </row>
    <row r="556">
      <c r="B556" s="139"/>
      <c r="O556" s="72"/>
    </row>
    <row r="557">
      <c r="B557" s="139"/>
      <c r="O557" s="72"/>
    </row>
    <row r="558">
      <c r="B558" s="139"/>
      <c r="O558" s="72"/>
    </row>
    <row r="559">
      <c r="B559" s="139"/>
      <c r="O559" s="72"/>
    </row>
    <row r="560">
      <c r="B560" s="139"/>
      <c r="O560" s="72"/>
    </row>
    <row r="561">
      <c r="B561" s="139"/>
      <c r="O561" s="72"/>
    </row>
    <row r="562">
      <c r="B562" s="139"/>
      <c r="O562" s="72"/>
    </row>
    <row r="563">
      <c r="B563" s="139"/>
      <c r="O563" s="72"/>
    </row>
    <row r="564">
      <c r="B564" s="139"/>
      <c r="O564" s="72"/>
    </row>
    <row r="565">
      <c r="B565" s="139"/>
      <c r="O565" s="72"/>
    </row>
    <row r="566">
      <c r="B566" s="139"/>
      <c r="O566" s="72"/>
    </row>
    <row r="567">
      <c r="B567" s="139"/>
      <c r="O567" s="72"/>
    </row>
    <row r="568">
      <c r="B568" s="139"/>
      <c r="O568" s="72"/>
    </row>
    <row r="569">
      <c r="B569" s="139"/>
      <c r="O569" s="72"/>
    </row>
    <row r="570">
      <c r="B570" s="139"/>
      <c r="O570" s="72"/>
    </row>
    <row r="571">
      <c r="B571" s="139"/>
      <c r="O571" s="72"/>
    </row>
    <row r="572">
      <c r="B572" s="139"/>
      <c r="O572" s="72"/>
    </row>
    <row r="573">
      <c r="B573" s="139"/>
      <c r="O573" s="72"/>
    </row>
    <row r="574">
      <c r="B574" s="139"/>
      <c r="O574" s="72"/>
    </row>
    <row r="575">
      <c r="B575" s="139"/>
      <c r="O575" s="72"/>
    </row>
    <row r="576">
      <c r="B576" s="139"/>
      <c r="O576" s="72"/>
    </row>
    <row r="577">
      <c r="B577" s="139"/>
      <c r="O577" s="72"/>
    </row>
    <row r="578">
      <c r="B578" s="139"/>
      <c r="O578" s="72"/>
    </row>
    <row r="579">
      <c r="B579" s="139"/>
      <c r="O579" s="72"/>
    </row>
    <row r="580">
      <c r="B580" s="139"/>
      <c r="O580" s="72"/>
    </row>
    <row r="581">
      <c r="B581" s="139"/>
      <c r="O581" s="72"/>
    </row>
    <row r="582">
      <c r="B582" s="139"/>
      <c r="O582" s="72"/>
    </row>
    <row r="583">
      <c r="B583" s="139"/>
      <c r="O583" s="72"/>
    </row>
    <row r="584">
      <c r="B584" s="139"/>
      <c r="O584" s="72"/>
    </row>
    <row r="585">
      <c r="B585" s="139"/>
      <c r="O585" s="72"/>
    </row>
    <row r="586">
      <c r="B586" s="139"/>
      <c r="O586" s="72"/>
    </row>
    <row r="587">
      <c r="B587" s="139"/>
      <c r="O587" s="72"/>
    </row>
    <row r="588">
      <c r="B588" s="139"/>
      <c r="O588" s="72"/>
    </row>
    <row r="589">
      <c r="B589" s="139"/>
      <c r="O589" s="72"/>
    </row>
    <row r="590">
      <c r="B590" s="139"/>
      <c r="O590" s="72"/>
    </row>
    <row r="591">
      <c r="B591" s="139"/>
      <c r="O591" s="72"/>
    </row>
    <row r="592">
      <c r="B592" s="139"/>
      <c r="O592" s="72"/>
    </row>
    <row r="593">
      <c r="B593" s="139"/>
      <c r="O593" s="72"/>
    </row>
    <row r="594">
      <c r="B594" s="139"/>
      <c r="O594" s="72"/>
    </row>
    <row r="595">
      <c r="B595" s="139"/>
      <c r="O595" s="72"/>
    </row>
    <row r="596">
      <c r="B596" s="139"/>
      <c r="O596" s="72"/>
    </row>
    <row r="597">
      <c r="B597" s="139"/>
      <c r="O597" s="72"/>
    </row>
    <row r="598">
      <c r="B598" s="139"/>
      <c r="O598" s="72"/>
    </row>
    <row r="599">
      <c r="B599" s="139"/>
      <c r="O599" s="72"/>
    </row>
    <row r="600">
      <c r="B600" s="139"/>
      <c r="O600" s="72"/>
    </row>
    <row r="601">
      <c r="B601" s="139"/>
      <c r="O601" s="72"/>
    </row>
    <row r="602">
      <c r="B602" s="139"/>
      <c r="O602" s="72"/>
    </row>
    <row r="603">
      <c r="B603" s="139"/>
      <c r="O603" s="72"/>
    </row>
    <row r="604">
      <c r="B604" s="139"/>
      <c r="O604" s="72"/>
    </row>
    <row r="605">
      <c r="B605" s="139"/>
      <c r="O605" s="72"/>
    </row>
    <row r="606">
      <c r="B606" s="139"/>
      <c r="O606" s="72"/>
    </row>
    <row r="607">
      <c r="B607" s="139"/>
      <c r="O607" s="72"/>
    </row>
    <row r="608">
      <c r="B608" s="139"/>
      <c r="O608" s="72"/>
    </row>
    <row r="609">
      <c r="B609" s="139"/>
      <c r="O609" s="72"/>
    </row>
    <row r="610">
      <c r="B610" s="139"/>
      <c r="O610" s="72"/>
    </row>
    <row r="611">
      <c r="B611" s="139"/>
      <c r="O611" s="72"/>
    </row>
    <row r="612">
      <c r="B612" s="139"/>
      <c r="O612" s="72"/>
    </row>
    <row r="613">
      <c r="B613" s="139"/>
      <c r="O613" s="72"/>
    </row>
    <row r="614">
      <c r="B614" s="139"/>
      <c r="O614" s="72"/>
    </row>
    <row r="615">
      <c r="B615" s="139"/>
      <c r="O615" s="72"/>
    </row>
    <row r="616">
      <c r="B616" s="139"/>
      <c r="O616" s="72"/>
    </row>
    <row r="617">
      <c r="B617" s="139"/>
      <c r="O617" s="72"/>
    </row>
    <row r="618">
      <c r="B618" s="139"/>
      <c r="O618" s="72"/>
    </row>
    <row r="619">
      <c r="B619" s="139"/>
      <c r="O619" s="72"/>
    </row>
    <row r="620">
      <c r="B620" s="139"/>
      <c r="O620" s="72"/>
    </row>
    <row r="621">
      <c r="B621" s="139"/>
      <c r="O621" s="72"/>
    </row>
    <row r="622">
      <c r="B622" s="139"/>
      <c r="O622" s="72"/>
    </row>
    <row r="623">
      <c r="B623" s="139"/>
      <c r="O623" s="72"/>
    </row>
    <row r="624">
      <c r="B624" s="139"/>
      <c r="O624" s="72"/>
    </row>
    <row r="625">
      <c r="B625" s="139"/>
      <c r="O625" s="72"/>
    </row>
    <row r="626">
      <c r="B626" s="139"/>
      <c r="O626" s="72"/>
    </row>
    <row r="627">
      <c r="B627" s="139"/>
      <c r="O627" s="72"/>
    </row>
    <row r="628">
      <c r="B628" s="139"/>
      <c r="O628" s="72"/>
    </row>
    <row r="629">
      <c r="B629" s="139"/>
      <c r="O629" s="72"/>
    </row>
    <row r="630">
      <c r="B630" s="139"/>
      <c r="O630" s="72"/>
    </row>
    <row r="631">
      <c r="B631" s="139"/>
      <c r="O631" s="72"/>
    </row>
    <row r="632">
      <c r="B632" s="139"/>
      <c r="O632" s="72"/>
    </row>
    <row r="633">
      <c r="B633" s="139"/>
      <c r="O633" s="72"/>
    </row>
    <row r="634">
      <c r="B634" s="139"/>
      <c r="O634" s="72"/>
    </row>
    <row r="635">
      <c r="B635" s="139"/>
      <c r="O635" s="72"/>
    </row>
    <row r="636">
      <c r="B636" s="139"/>
      <c r="O636" s="72"/>
    </row>
    <row r="637">
      <c r="B637" s="139"/>
      <c r="O637" s="72"/>
    </row>
    <row r="638">
      <c r="B638" s="139"/>
      <c r="O638" s="72"/>
    </row>
    <row r="639">
      <c r="B639" s="139"/>
      <c r="O639" s="72"/>
    </row>
    <row r="640">
      <c r="B640" s="139"/>
      <c r="O640" s="72"/>
    </row>
    <row r="641">
      <c r="B641" s="139"/>
      <c r="O641" s="72"/>
    </row>
    <row r="642">
      <c r="B642" s="139"/>
      <c r="O642" s="72"/>
    </row>
    <row r="643">
      <c r="B643" s="139"/>
      <c r="O643" s="72"/>
    </row>
    <row r="644">
      <c r="B644" s="139"/>
      <c r="O644" s="72"/>
    </row>
    <row r="645">
      <c r="B645" s="139"/>
      <c r="O645" s="72"/>
    </row>
    <row r="646">
      <c r="B646" s="139"/>
      <c r="O646" s="72"/>
    </row>
    <row r="647">
      <c r="B647" s="139"/>
      <c r="O647" s="72"/>
    </row>
    <row r="648">
      <c r="B648" s="139"/>
      <c r="O648" s="72"/>
    </row>
    <row r="649">
      <c r="B649" s="139"/>
      <c r="O649" s="72"/>
    </row>
    <row r="650">
      <c r="B650" s="139"/>
      <c r="O650" s="72"/>
    </row>
    <row r="651">
      <c r="B651" s="139"/>
      <c r="O651" s="72"/>
    </row>
    <row r="652">
      <c r="B652" s="139"/>
      <c r="O652" s="72"/>
    </row>
    <row r="653">
      <c r="B653" s="139"/>
      <c r="O653" s="72"/>
    </row>
    <row r="654">
      <c r="B654" s="139"/>
      <c r="O654" s="72"/>
    </row>
    <row r="655">
      <c r="B655" s="139"/>
      <c r="O655" s="72"/>
    </row>
    <row r="656">
      <c r="B656" s="139"/>
      <c r="O656" s="72"/>
    </row>
    <row r="657">
      <c r="B657" s="139"/>
      <c r="O657" s="72"/>
    </row>
    <row r="658">
      <c r="B658" s="139"/>
      <c r="O658" s="72"/>
    </row>
    <row r="659">
      <c r="B659" s="139"/>
      <c r="O659" s="72"/>
    </row>
    <row r="660">
      <c r="B660" s="139"/>
      <c r="O660" s="72"/>
    </row>
    <row r="661">
      <c r="B661" s="139"/>
      <c r="O661" s="72"/>
    </row>
    <row r="662">
      <c r="B662" s="139"/>
      <c r="O662" s="72"/>
    </row>
    <row r="663">
      <c r="B663" s="139"/>
      <c r="O663" s="72"/>
    </row>
    <row r="664">
      <c r="B664" s="139"/>
      <c r="O664" s="72"/>
    </row>
    <row r="665">
      <c r="B665" s="139"/>
      <c r="O665" s="72"/>
    </row>
    <row r="666">
      <c r="B666" s="139"/>
      <c r="O666" s="72"/>
    </row>
    <row r="667">
      <c r="B667" s="139"/>
      <c r="O667" s="72"/>
    </row>
    <row r="668">
      <c r="B668" s="139"/>
      <c r="O668" s="72"/>
    </row>
    <row r="669">
      <c r="B669" s="139"/>
      <c r="O669" s="72"/>
    </row>
    <row r="670">
      <c r="B670" s="139"/>
      <c r="O670" s="72"/>
    </row>
    <row r="671">
      <c r="B671" s="139"/>
      <c r="O671" s="72"/>
    </row>
    <row r="672">
      <c r="B672" s="139"/>
      <c r="O672" s="72"/>
    </row>
    <row r="673">
      <c r="B673" s="139"/>
      <c r="O673" s="72"/>
    </row>
    <row r="674">
      <c r="B674" s="139"/>
      <c r="O674" s="72"/>
    </row>
    <row r="675">
      <c r="B675" s="139"/>
      <c r="O675" s="72"/>
    </row>
    <row r="676">
      <c r="B676" s="139"/>
      <c r="O676" s="72"/>
    </row>
    <row r="677">
      <c r="B677" s="139"/>
      <c r="O677" s="72"/>
    </row>
    <row r="678">
      <c r="B678" s="139"/>
      <c r="O678" s="72"/>
    </row>
    <row r="679">
      <c r="B679" s="139"/>
      <c r="O679" s="72"/>
    </row>
    <row r="680">
      <c r="B680" s="139"/>
      <c r="O680" s="72"/>
    </row>
    <row r="681">
      <c r="B681" s="139"/>
      <c r="O681" s="72"/>
    </row>
    <row r="682">
      <c r="B682" s="139"/>
      <c r="O682" s="72"/>
    </row>
    <row r="683">
      <c r="B683" s="139"/>
      <c r="O683" s="72"/>
    </row>
    <row r="684">
      <c r="B684" s="139"/>
      <c r="O684" s="72"/>
    </row>
    <row r="685">
      <c r="B685" s="139"/>
      <c r="O685" s="72"/>
    </row>
    <row r="686">
      <c r="B686" s="139"/>
      <c r="O686" s="72"/>
    </row>
    <row r="687">
      <c r="B687" s="139"/>
      <c r="O687" s="72"/>
    </row>
    <row r="688">
      <c r="B688" s="139"/>
      <c r="O688" s="72"/>
    </row>
    <row r="689">
      <c r="B689" s="139"/>
      <c r="O689" s="72"/>
    </row>
    <row r="690">
      <c r="B690" s="139"/>
      <c r="O690" s="72"/>
    </row>
    <row r="691">
      <c r="B691" s="139"/>
      <c r="O691" s="72"/>
    </row>
    <row r="692">
      <c r="B692" s="139"/>
      <c r="O692" s="72"/>
    </row>
    <row r="693">
      <c r="B693" s="139"/>
      <c r="O693" s="72"/>
    </row>
    <row r="694">
      <c r="B694" s="139"/>
      <c r="O694" s="72"/>
    </row>
    <row r="695">
      <c r="B695" s="139"/>
      <c r="O695" s="72"/>
    </row>
    <row r="696">
      <c r="B696" s="139"/>
      <c r="O696" s="72"/>
    </row>
    <row r="697">
      <c r="B697" s="139"/>
      <c r="O697" s="72"/>
    </row>
    <row r="698">
      <c r="B698" s="139"/>
      <c r="O698" s="72"/>
    </row>
    <row r="699">
      <c r="B699" s="139"/>
      <c r="O699" s="72"/>
    </row>
    <row r="700">
      <c r="B700" s="139"/>
      <c r="O700" s="72"/>
    </row>
    <row r="701">
      <c r="B701" s="139"/>
      <c r="O701" s="72"/>
    </row>
    <row r="702">
      <c r="B702" s="139"/>
      <c r="O702" s="72"/>
    </row>
    <row r="703">
      <c r="B703" s="139"/>
      <c r="O703" s="72"/>
    </row>
    <row r="704">
      <c r="B704" s="139"/>
      <c r="O704" s="72"/>
    </row>
    <row r="705">
      <c r="B705" s="139"/>
      <c r="O705" s="72"/>
    </row>
    <row r="706">
      <c r="B706" s="139"/>
      <c r="O706" s="72"/>
    </row>
    <row r="707">
      <c r="B707" s="139"/>
      <c r="O707" s="72"/>
    </row>
    <row r="708">
      <c r="B708" s="139"/>
      <c r="O708" s="72"/>
    </row>
    <row r="709">
      <c r="B709" s="139"/>
      <c r="O709" s="72"/>
    </row>
    <row r="710">
      <c r="B710" s="139"/>
      <c r="O710" s="72"/>
    </row>
    <row r="711">
      <c r="B711" s="139"/>
      <c r="O711" s="72"/>
    </row>
    <row r="712">
      <c r="B712" s="139"/>
      <c r="O712" s="72"/>
    </row>
    <row r="713">
      <c r="B713" s="139"/>
      <c r="O713" s="72"/>
    </row>
    <row r="714">
      <c r="B714" s="139"/>
      <c r="O714" s="72"/>
    </row>
    <row r="715">
      <c r="B715" s="139"/>
      <c r="O715" s="72"/>
    </row>
    <row r="716">
      <c r="B716" s="139"/>
      <c r="O716" s="72"/>
    </row>
    <row r="717">
      <c r="B717" s="139"/>
      <c r="O717" s="72"/>
    </row>
    <row r="718">
      <c r="B718" s="139"/>
      <c r="O718" s="72"/>
    </row>
    <row r="719">
      <c r="B719" s="139"/>
      <c r="O719" s="72"/>
    </row>
    <row r="720">
      <c r="B720" s="139"/>
      <c r="O720" s="72"/>
    </row>
    <row r="721">
      <c r="B721" s="139"/>
      <c r="O721" s="72"/>
    </row>
    <row r="722">
      <c r="B722" s="139"/>
      <c r="O722" s="72"/>
    </row>
    <row r="723">
      <c r="B723" s="139"/>
      <c r="O723" s="72"/>
    </row>
    <row r="724">
      <c r="B724" s="139"/>
      <c r="O724" s="72"/>
    </row>
    <row r="725">
      <c r="B725" s="139"/>
      <c r="O725" s="72"/>
    </row>
    <row r="726">
      <c r="B726" s="139"/>
      <c r="O726" s="72"/>
    </row>
    <row r="727">
      <c r="B727" s="139"/>
      <c r="O727" s="72"/>
    </row>
    <row r="728">
      <c r="B728" s="139"/>
      <c r="O728" s="72"/>
    </row>
    <row r="729">
      <c r="B729" s="139"/>
      <c r="O729" s="72"/>
    </row>
    <row r="730">
      <c r="B730" s="139"/>
      <c r="O730" s="72"/>
    </row>
    <row r="731">
      <c r="B731" s="139"/>
      <c r="O731" s="72"/>
    </row>
    <row r="732">
      <c r="B732" s="139"/>
      <c r="O732" s="72"/>
    </row>
    <row r="733">
      <c r="B733" s="139"/>
      <c r="O733" s="72"/>
    </row>
    <row r="734">
      <c r="B734" s="139"/>
      <c r="O734" s="72"/>
    </row>
    <row r="735">
      <c r="B735" s="139"/>
      <c r="O735" s="72"/>
    </row>
    <row r="736">
      <c r="B736" s="139"/>
      <c r="O736" s="72"/>
    </row>
    <row r="737">
      <c r="B737" s="139"/>
      <c r="O737" s="72"/>
    </row>
    <row r="738">
      <c r="B738" s="139"/>
      <c r="O738" s="72"/>
    </row>
    <row r="739">
      <c r="B739" s="139"/>
      <c r="O739" s="72"/>
    </row>
    <row r="740">
      <c r="B740" s="139"/>
      <c r="O740" s="72"/>
    </row>
    <row r="741">
      <c r="B741" s="139"/>
      <c r="O741" s="72"/>
    </row>
    <row r="742">
      <c r="B742" s="139"/>
      <c r="O742" s="72"/>
    </row>
    <row r="743">
      <c r="B743" s="139"/>
      <c r="O743" s="72"/>
    </row>
    <row r="744">
      <c r="B744" s="139"/>
      <c r="O744" s="72"/>
    </row>
    <row r="745">
      <c r="B745" s="139"/>
      <c r="O745" s="72"/>
    </row>
    <row r="746">
      <c r="B746" s="139"/>
      <c r="O746" s="72"/>
    </row>
    <row r="747">
      <c r="B747" s="139"/>
      <c r="O747" s="72"/>
    </row>
    <row r="748">
      <c r="B748" s="139"/>
      <c r="O748" s="72"/>
    </row>
    <row r="749">
      <c r="B749" s="139"/>
      <c r="O749" s="72"/>
    </row>
    <row r="750">
      <c r="B750" s="139"/>
      <c r="O750" s="72"/>
    </row>
    <row r="751">
      <c r="B751" s="139"/>
      <c r="O751" s="72"/>
    </row>
    <row r="752">
      <c r="B752" s="139"/>
      <c r="O752" s="72"/>
    </row>
    <row r="753">
      <c r="B753" s="139"/>
      <c r="O753" s="72"/>
    </row>
    <row r="754">
      <c r="B754" s="139"/>
      <c r="O754" s="72"/>
    </row>
    <row r="755">
      <c r="B755" s="139"/>
      <c r="O755" s="72"/>
    </row>
    <row r="756">
      <c r="B756" s="139"/>
      <c r="O756" s="72"/>
    </row>
    <row r="757">
      <c r="B757" s="139"/>
      <c r="O757" s="72"/>
    </row>
    <row r="758">
      <c r="B758" s="139"/>
      <c r="O758" s="72"/>
    </row>
    <row r="759">
      <c r="B759" s="139"/>
      <c r="O759" s="72"/>
    </row>
    <row r="760">
      <c r="B760" s="139"/>
      <c r="O760" s="72"/>
    </row>
    <row r="761">
      <c r="B761" s="139"/>
      <c r="O761" s="72"/>
    </row>
    <row r="762">
      <c r="B762" s="139"/>
      <c r="O762" s="72"/>
    </row>
    <row r="763">
      <c r="B763" s="139"/>
      <c r="O763" s="72"/>
    </row>
    <row r="764">
      <c r="B764" s="139"/>
      <c r="O764" s="72"/>
    </row>
    <row r="765">
      <c r="B765" s="139"/>
      <c r="O765" s="72"/>
    </row>
    <row r="766">
      <c r="B766" s="139"/>
      <c r="O766" s="72"/>
    </row>
    <row r="767">
      <c r="B767" s="139"/>
      <c r="O767" s="72"/>
    </row>
    <row r="768">
      <c r="B768" s="139"/>
      <c r="O768" s="72"/>
    </row>
    <row r="769">
      <c r="B769" s="139"/>
      <c r="O769" s="72"/>
    </row>
    <row r="770">
      <c r="B770" s="139"/>
      <c r="O770" s="72"/>
    </row>
    <row r="771">
      <c r="B771" s="139"/>
      <c r="O771" s="72"/>
    </row>
    <row r="772">
      <c r="B772" s="139"/>
      <c r="O772" s="72"/>
    </row>
    <row r="773">
      <c r="B773" s="139"/>
      <c r="O773" s="72"/>
    </row>
    <row r="774">
      <c r="B774" s="139"/>
      <c r="O774" s="72"/>
    </row>
    <row r="775">
      <c r="B775" s="139"/>
      <c r="O775" s="72"/>
    </row>
    <row r="776">
      <c r="B776" s="139"/>
      <c r="O776" s="72"/>
    </row>
    <row r="777">
      <c r="B777" s="139"/>
      <c r="O777" s="72"/>
    </row>
    <row r="778">
      <c r="B778" s="139"/>
      <c r="O778" s="72"/>
    </row>
    <row r="779">
      <c r="B779" s="139"/>
      <c r="O779" s="72"/>
    </row>
    <row r="780">
      <c r="B780" s="139"/>
      <c r="O780" s="72"/>
    </row>
    <row r="781">
      <c r="B781" s="139"/>
      <c r="O781" s="72"/>
    </row>
    <row r="782">
      <c r="B782" s="139"/>
      <c r="O782" s="72"/>
    </row>
    <row r="783">
      <c r="B783" s="139"/>
      <c r="O783" s="72"/>
    </row>
    <row r="784">
      <c r="B784" s="139"/>
      <c r="O784" s="72"/>
    </row>
    <row r="785">
      <c r="B785" s="139"/>
      <c r="O785" s="72"/>
    </row>
    <row r="786">
      <c r="B786" s="139"/>
      <c r="O786" s="72"/>
    </row>
    <row r="787">
      <c r="B787" s="139"/>
      <c r="O787" s="72"/>
    </row>
    <row r="788">
      <c r="B788" s="139"/>
      <c r="O788" s="72"/>
    </row>
    <row r="789">
      <c r="B789" s="139"/>
      <c r="O789" s="72"/>
    </row>
    <row r="790">
      <c r="B790" s="139"/>
      <c r="O790" s="72"/>
    </row>
    <row r="791">
      <c r="B791" s="139"/>
      <c r="O791" s="72"/>
    </row>
    <row r="792">
      <c r="B792" s="139"/>
      <c r="O792" s="72"/>
    </row>
    <row r="793">
      <c r="B793" s="139"/>
      <c r="O793" s="72"/>
    </row>
    <row r="794">
      <c r="B794" s="139"/>
      <c r="O794" s="72"/>
    </row>
    <row r="795">
      <c r="B795" s="139"/>
      <c r="O795" s="72"/>
    </row>
    <row r="796">
      <c r="B796" s="139"/>
      <c r="O796" s="72"/>
    </row>
    <row r="797">
      <c r="B797" s="139"/>
      <c r="O797" s="72"/>
    </row>
    <row r="798">
      <c r="B798" s="139"/>
      <c r="O798" s="72"/>
    </row>
    <row r="799">
      <c r="B799" s="139"/>
      <c r="O799" s="72"/>
    </row>
    <row r="800">
      <c r="B800" s="139"/>
      <c r="O800" s="72"/>
    </row>
    <row r="801">
      <c r="B801" s="139"/>
      <c r="O801" s="72"/>
    </row>
    <row r="802">
      <c r="B802" s="139"/>
      <c r="O802" s="72"/>
    </row>
    <row r="803">
      <c r="B803" s="139"/>
      <c r="O803" s="72"/>
    </row>
    <row r="804">
      <c r="B804" s="139"/>
      <c r="O804" s="72"/>
    </row>
    <row r="805">
      <c r="B805" s="139"/>
      <c r="O805" s="72"/>
    </row>
    <row r="806">
      <c r="B806" s="139"/>
      <c r="O806" s="72"/>
    </row>
    <row r="807">
      <c r="B807" s="139"/>
      <c r="O807" s="72"/>
    </row>
    <row r="808">
      <c r="B808" s="139"/>
      <c r="O808" s="72"/>
    </row>
    <row r="809">
      <c r="B809" s="139"/>
      <c r="O809" s="72"/>
    </row>
    <row r="810">
      <c r="B810" s="139"/>
      <c r="O810" s="72"/>
    </row>
    <row r="811">
      <c r="B811" s="139"/>
      <c r="O811" s="72"/>
    </row>
    <row r="812">
      <c r="B812" s="139"/>
      <c r="O812" s="72"/>
    </row>
    <row r="813">
      <c r="B813" s="139"/>
      <c r="O813" s="72"/>
    </row>
    <row r="814">
      <c r="B814" s="139"/>
      <c r="O814" s="72"/>
    </row>
    <row r="815">
      <c r="B815" s="139"/>
      <c r="O815" s="72"/>
    </row>
    <row r="816">
      <c r="B816" s="139"/>
      <c r="O816" s="72"/>
    </row>
    <row r="817">
      <c r="B817" s="139"/>
      <c r="O817" s="72"/>
    </row>
    <row r="818">
      <c r="B818" s="139"/>
      <c r="O818" s="72"/>
    </row>
    <row r="819">
      <c r="B819" s="139"/>
      <c r="O819" s="72"/>
    </row>
    <row r="820">
      <c r="B820" s="139"/>
      <c r="O820" s="72"/>
    </row>
    <row r="821">
      <c r="B821" s="139"/>
      <c r="O821" s="72"/>
    </row>
    <row r="822">
      <c r="B822" s="139"/>
      <c r="O822" s="72"/>
    </row>
    <row r="823">
      <c r="B823" s="139"/>
      <c r="O823" s="72"/>
    </row>
    <row r="824">
      <c r="B824" s="139"/>
      <c r="O824" s="72"/>
    </row>
    <row r="825">
      <c r="B825" s="139"/>
      <c r="O825" s="72"/>
    </row>
    <row r="826">
      <c r="B826" s="139"/>
      <c r="O826" s="72"/>
    </row>
    <row r="827">
      <c r="B827" s="139"/>
      <c r="O827" s="72"/>
    </row>
    <row r="828">
      <c r="B828" s="139"/>
      <c r="O828" s="72"/>
    </row>
    <row r="829">
      <c r="B829" s="139"/>
      <c r="O829" s="72"/>
    </row>
    <row r="830">
      <c r="B830" s="139"/>
      <c r="O830" s="72"/>
    </row>
    <row r="831">
      <c r="B831" s="139"/>
      <c r="O831" s="72"/>
    </row>
    <row r="832">
      <c r="B832" s="139"/>
      <c r="O832" s="72"/>
    </row>
    <row r="833">
      <c r="B833" s="139"/>
      <c r="O833" s="72"/>
    </row>
    <row r="834">
      <c r="B834" s="139"/>
      <c r="O834" s="72"/>
    </row>
    <row r="835">
      <c r="B835" s="139"/>
      <c r="O835" s="72"/>
    </row>
    <row r="836">
      <c r="B836" s="139"/>
      <c r="O836" s="72"/>
    </row>
    <row r="837">
      <c r="B837" s="139"/>
      <c r="O837" s="72"/>
    </row>
    <row r="838">
      <c r="B838" s="139"/>
      <c r="O838" s="72"/>
    </row>
    <row r="839">
      <c r="B839" s="139"/>
      <c r="O839" s="72"/>
    </row>
    <row r="840">
      <c r="B840" s="139"/>
      <c r="O840" s="72"/>
    </row>
    <row r="841">
      <c r="B841" s="139"/>
      <c r="O841" s="72"/>
    </row>
    <row r="842">
      <c r="B842" s="139"/>
      <c r="O842" s="72"/>
    </row>
    <row r="843">
      <c r="B843" s="139"/>
      <c r="O843" s="72"/>
    </row>
    <row r="844">
      <c r="B844" s="139"/>
      <c r="O844" s="72"/>
    </row>
    <row r="845">
      <c r="B845" s="139"/>
      <c r="O845" s="72"/>
    </row>
    <row r="846">
      <c r="B846" s="139"/>
      <c r="O846" s="72"/>
    </row>
    <row r="847">
      <c r="B847" s="139"/>
      <c r="O847" s="72"/>
    </row>
    <row r="848">
      <c r="B848" s="139"/>
      <c r="O848" s="72"/>
    </row>
    <row r="849">
      <c r="B849" s="139"/>
      <c r="O849" s="72"/>
    </row>
    <row r="850">
      <c r="B850" s="139"/>
      <c r="O850" s="72"/>
    </row>
    <row r="851">
      <c r="B851" s="139"/>
      <c r="O851" s="72"/>
    </row>
    <row r="852">
      <c r="B852" s="139"/>
      <c r="O852" s="72"/>
    </row>
    <row r="853">
      <c r="B853" s="139"/>
      <c r="O853" s="72"/>
    </row>
    <row r="854">
      <c r="B854" s="139"/>
      <c r="O854" s="72"/>
    </row>
    <row r="855">
      <c r="B855" s="139"/>
      <c r="O855" s="72"/>
    </row>
    <row r="856">
      <c r="B856" s="139"/>
      <c r="O856" s="72"/>
    </row>
    <row r="857">
      <c r="B857" s="139"/>
      <c r="O857" s="72"/>
    </row>
    <row r="858">
      <c r="B858" s="139"/>
      <c r="O858" s="72"/>
    </row>
    <row r="859">
      <c r="B859" s="139"/>
      <c r="O859" s="72"/>
    </row>
    <row r="860">
      <c r="B860" s="139"/>
      <c r="O860" s="72"/>
    </row>
    <row r="861">
      <c r="B861" s="139"/>
      <c r="O861" s="72"/>
    </row>
    <row r="862">
      <c r="B862" s="139"/>
      <c r="O862" s="72"/>
    </row>
    <row r="863">
      <c r="B863" s="139"/>
      <c r="O863" s="72"/>
    </row>
    <row r="864">
      <c r="B864" s="139"/>
      <c r="O864" s="72"/>
    </row>
    <row r="865">
      <c r="B865" s="139"/>
      <c r="O865" s="72"/>
    </row>
    <row r="866">
      <c r="B866" s="139"/>
      <c r="O866" s="72"/>
    </row>
    <row r="867">
      <c r="B867" s="139"/>
      <c r="O867" s="72"/>
    </row>
    <row r="868">
      <c r="B868" s="139"/>
      <c r="O868" s="72"/>
    </row>
    <row r="869">
      <c r="B869" s="139"/>
      <c r="O869" s="72"/>
    </row>
    <row r="870">
      <c r="B870" s="139"/>
      <c r="O870" s="72"/>
    </row>
    <row r="871">
      <c r="B871" s="139"/>
      <c r="O871" s="72"/>
    </row>
    <row r="872">
      <c r="B872" s="139"/>
      <c r="O872" s="72"/>
    </row>
    <row r="873">
      <c r="B873" s="139"/>
      <c r="O873" s="72"/>
    </row>
    <row r="874">
      <c r="B874" s="139"/>
      <c r="O874" s="72"/>
    </row>
    <row r="875">
      <c r="B875" s="139"/>
      <c r="O875" s="72"/>
    </row>
    <row r="876">
      <c r="B876" s="139"/>
      <c r="O876" s="72"/>
    </row>
    <row r="877">
      <c r="B877" s="139"/>
      <c r="O877" s="72"/>
    </row>
    <row r="878">
      <c r="B878" s="139"/>
      <c r="O878" s="72"/>
    </row>
    <row r="879">
      <c r="B879" s="139"/>
      <c r="O879" s="72"/>
    </row>
    <row r="880">
      <c r="B880" s="139"/>
      <c r="O880" s="72"/>
    </row>
    <row r="881">
      <c r="B881" s="139"/>
      <c r="O881" s="72"/>
    </row>
    <row r="882">
      <c r="B882" s="139"/>
      <c r="O882" s="72"/>
    </row>
    <row r="883">
      <c r="B883" s="139"/>
      <c r="O883" s="72"/>
    </row>
    <row r="884">
      <c r="B884" s="139"/>
      <c r="O884" s="72"/>
    </row>
    <row r="885">
      <c r="B885" s="139"/>
      <c r="O885" s="72"/>
    </row>
    <row r="886">
      <c r="B886" s="139"/>
      <c r="O886" s="72"/>
    </row>
    <row r="887">
      <c r="B887" s="139"/>
      <c r="O887" s="72"/>
    </row>
    <row r="888">
      <c r="B888" s="139"/>
      <c r="O888" s="72"/>
    </row>
    <row r="889">
      <c r="B889" s="139"/>
      <c r="O889" s="72"/>
    </row>
    <row r="890">
      <c r="B890" s="139"/>
      <c r="O890" s="72"/>
    </row>
    <row r="891">
      <c r="B891" s="139"/>
      <c r="O891" s="72"/>
    </row>
    <row r="892">
      <c r="B892" s="139"/>
      <c r="O892" s="72"/>
    </row>
    <row r="893">
      <c r="B893" s="139"/>
      <c r="O893" s="72"/>
    </row>
    <row r="894">
      <c r="B894" s="139"/>
      <c r="O894" s="72"/>
    </row>
    <row r="895">
      <c r="B895" s="139"/>
      <c r="O895" s="72"/>
    </row>
    <row r="896">
      <c r="B896" s="139"/>
      <c r="O896" s="72"/>
    </row>
    <row r="897">
      <c r="B897" s="139"/>
      <c r="O897" s="72"/>
    </row>
    <row r="898">
      <c r="B898" s="139"/>
      <c r="O898" s="72"/>
    </row>
    <row r="899">
      <c r="B899" s="139"/>
      <c r="O899" s="72"/>
    </row>
    <row r="900">
      <c r="B900" s="139"/>
      <c r="O900" s="72"/>
    </row>
    <row r="901">
      <c r="B901" s="139"/>
      <c r="O901" s="72"/>
    </row>
    <row r="902">
      <c r="B902" s="139"/>
      <c r="O902" s="72"/>
    </row>
    <row r="903">
      <c r="B903" s="139"/>
      <c r="O903" s="72"/>
    </row>
    <row r="904">
      <c r="B904" s="139"/>
      <c r="O904" s="72"/>
    </row>
    <row r="905">
      <c r="B905" s="139"/>
      <c r="O905" s="72"/>
    </row>
    <row r="906">
      <c r="B906" s="139"/>
      <c r="O906" s="72"/>
    </row>
    <row r="907">
      <c r="B907" s="139"/>
      <c r="O907" s="72"/>
    </row>
    <row r="908">
      <c r="B908" s="139"/>
      <c r="O908" s="72"/>
    </row>
    <row r="909">
      <c r="B909" s="139"/>
      <c r="O909" s="72"/>
    </row>
    <row r="910">
      <c r="B910" s="139"/>
      <c r="O910" s="72"/>
    </row>
    <row r="911">
      <c r="B911" s="139"/>
      <c r="O911" s="72"/>
    </row>
    <row r="912">
      <c r="B912" s="139"/>
      <c r="O912" s="72"/>
    </row>
    <row r="913">
      <c r="B913" s="139"/>
      <c r="O913" s="72"/>
    </row>
    <row r="914">
      <c r="B914" s="139"/>
      <c r="O914" s="72"/>
    </row>
    <row r="915">
      <c r="B915" s="139"/>
      <c r="O915" s="72"/>
    </row>
    <row r="916">
      <c r="B916" s="139"/>
      <c r="O916" s="72"/>
    </row>
    <row r="917">
      <c r="B917" s="139"/>
      <c r="O917" s="72"/>
    </row>
    <row r="918">
      <c r="B918" s="139"/>
      <c r="O918" s="72"/>
    </row>
    <row r="919">
      <c r="B919" s="139"/>
      <c r="O919" s="72"/>
    </row>
    <row r="920">
      <c r="B920" s="139"/>
      <c r="O920" s="72"/>
    </row>
    <row r="921">
      <c r="B921" s="139"/>
      <c r="O921" s="72"/>
    </row>
    <row r="922">
      <c r="B922" s="139"/>
      <c r="O922" s="72"/>
    </row>
    <row r="923">
      <c r="B923" s="139"/>
      <c r="O923" s="72"/>
    </row>
    <row r="924">
      <c r="B924" s="139"/>
      <c r="O924" s="72"/>
    </row>
    <row r="925">
      <c r="B925" s="139"/>
      <c r="O925" s="72"/>
    </row>
    <row r="926">
      <c r="B926" s="139"/>
      <c r="O926" s="72"/>
    </row>
    <row r="927">
      <c r="B927" s="139"/>
      <c r="O927" s="72"/>
    </row>
    <row r="928">
      <c r="B928" s="139"/>
      <c r="O928" s="72"/>
    </row>
    <row r="929">
      <c r="B929" s="139"/>
      <c r="O929" s="72"/>
    </row>
    <row r="930">
      <c r="B930" s="139"/>
      <c r="O930" s="72"/>
    </row>
    <row r="931">
      <c r="B931" s="139"/>
      <c r="O931" s="72"/>
    </row>
    <row r="932">
      <c r="B932" s="139"/>
      <c r="O932" s="72"/>
    </row>
    <row r="933">
      <c r="B933" s="139"/>
      <c r="O933" s="72"/>
    </row>
    <row r="934">
      <c r="B934" s="139"/>
      <c r="O934" s="72"/>
    </row>
    <row r="935">
      <c r="B935" s="139"/>
      <c r="O935" s="72"/>
    </row>
    <row r="936">
      <c r="B936" s="139"/>
      <c r="O936" s="72"/>
    </row>
    <row r="937">
      <c r="B937" s="139"/>
      <c r="O937" s="72"/>
    </row>
    <row r="938">
      <c r="B938" s="139"/>
      <c r="O938" s="72"/>
    </row>
    <row r="939">
      <c r="B939" s="139"/>
      <c r="O939" s="72"/>
    </row>
    <row r="940">
      <c r="B940" s="139"/>
      <c r="O940" s="72"/>
    </row>
    <row r="941">
      <c r="B941" s="139"/>
      <c r="O941" s="72"/>
    </row>
    <row r="942">
      <c r="B942" s="139"/>
      <c r="O942" s="72"/>
    </row>
    <row r="943">
      <c r="B943" s="139"/>
      <c r="O943" s="72"/>
    </row>
    <row r="944">
      <c r="B944" s="139"/>
      <c r="O944" s="72"/>
    </row>
    <row r="945">
      <c r="B945" s="139"/>
      <c r="O945" s="72"/>
    </row>
    <row r="946">
      <c r="B946" s="139"/>
      <c r="O946" s="72"/>
    </row>
    <row r="947">
      <c r="B947" s="139"/>
      <c r="O947" s="72"/>
    </row>
    <row r="948">
      <c r="B948" s="139"/>
      <c r="O948" s="72"/>
    </row>
    <row r="949">
      <c r="B949" s="139"/>
      <c r="O949" s="72"/>
    </row>
    <row r="950">
      <c r="B950" s="139"/>
      <c r="O950" s="72"/>
    </row>
    <row r="951">
      <c r="B951" s="139"/>
      <c r="O951" s="72"/>
    </row>
    <row r="952">
      <c r="B952" s="139"/>
      <c r="O952" s="72"/>
    </row>
    <row r="953">
      <c r="B953" s="139"/>
      <c r="O953" s="72"/>
    </row>
    <row r="954">
      <c r="B954" s="139"/>
      <c r="O954" s="72"/>
    </row>
    <row r="955">
      <c r="B955" s="139"/>
      <c r="O955" s="72"/>
    </row>
    <row r="956">
      <c r="B956" s="139"/>
      <c r="O956" s="72"/>
    </row>
    <row r="957">
      <c r="B957" s="139"/>
      <c r="O957" s="72"/>
    </row>
    <row r="958">
      <c r="B958" s="139"/>
      <c r="O958" s="72"/>
    </row>
    <row r="959">
      <c r="B959" s="139"/>
      <c r="O959" s="72"/>
    </row>
    <row r="960">
      <c r="B960" s="139"/>
      <c r="O960" s="72"/>
    </row>
    <row r="961">
      <c r="B961" s="139"/>
      <c r="O961" s="72"/>
    </row>
    <row r="962">
      <c r="B962" s="139"/>
      <c r="O962" s="72"/>
    </row>
    <row r="963">
      <c r="B963" s="139"/>
      <c r="O963" s="72"/>
    </row>
    <row r="964">
      <c r="B964" s="139"/>
      <c r="O964" s="72"/>
    </row>
    <row r="965">
      <c r="B965" s="139"/>
      <c r="O965" s="72"/>
    </row>
    <row r="966">
      <c r="B966" s="139"/>
      <c r="O966" s="72"/>
    </row>
    <row r="967">
      <c r="B967" s="139"/>
      <c r="O967" s="72"/>
    </row>
    <row r="968">
      <c r="B968" s="139"/>
      <c r="O968" s="72"/>
    </row>
    <row r="969">
      <c r="B969" s="139"/>
      <c r="O969" s="72"/>
    </row>
    <row r="970">
      <c r="B970" s="139"/>
      <c r="O970" s="72"/>
    </row>
    <row r="971">
      <c r="B971" s="139"/>
      <c r="O971" s="72"/>
    </row>
    <row r="972">
      <c r="B972" s="139"/>
      <c r="O972" s="72"/>
    </row>
    <row r="973">
      <c r="B973" s="139"/>
      <c r="O973" s="72"/>
    </row>
    <row r="974">
      <c r="B974" s="139"/>
      <c r="O974" s="72"/>
    </row>
    <row r="975">
      <c r="B975" s="139"/>
      <c r="O975" s="72"/>
    </row>
    <row r="976">
      <c r="B976" s="139"/>
      <c r="O976" s="72"/>
    </row>
    <row r="977">
      <c r="B977" s="139"/>
      <c r="O977" s="72"/>
    </row>
    <row r="978">
      <c r="B978" s="139"/>
      <c r="O978" s="72"/>
    </row>
    <row r="979">
      <c r="B979" s="139"/>
      <c r="O979" s="72"/>
    </row>
    <row r="980">
      <c r="B980" s="139"/>
      <c r="O980" s="72"/>
    </row>
    <row r="981">
      <c r="B981" s="139"/>
      <c r="O981" s="72"/>
    </row>
    <row r="982">
      <c r="B982" s="139"/>
      <c r="O982" s="72"/>
    </row>
    <row r="983">
      <c r="B983" s="139"/>
      <c r="O983" s="72"/>
    </row>
    <row r="984">
      <c r="B984" s="139"/>
      <c r="O984" s="72"/>
    </row>
    <row r="985">
      <c r="B985" s="139"/>
      <c r="O985" s="72"/>
    </row>
    <row r="986">
      <c r="B986" s="139"/>
      <c r="O986" s="72"/>
    </row>
    <row r="987">
      <c r="B987" s="139"/>
      <c r="O987" s="72"/>
    </row>
    <row r="988">
      <c r="B988" s="139"/>
      <c r="O988" s="72"/>
    </row>
    <row r="989">
      <c r="B989" s="139"/>
      <c r="O989" s="72"/>
    </row>
    <row r="990">
      <c r="B990" s="139"/>
      <c r="O990" s="72"/>
    </row>
    <row r="991">
      <c r="B991" s="139"/>
      <c r="O991" s="72"/>
    </row>
    <row r="992">
      <c r="B992" s="139"/>
      <c r="O992" s="72"/>
    </row>
    <row r="993">
      <c r="B993" s="139"/>
      <c r="O993" s="72"/>
    </row>
    <row r="994">
      <c r="B994" s="139"/>
      <c r="O994" s="72"/>
    </row>
    <row r="995">
      <c r="B995" s="139"/>
      <c r="O995" s="72"/>
    </row>
    <row r="996">
      <c r="B996" s="139"/>
      <c r="O996" s="72"/>
    </row>
    <row r="997">
      <c r="B997" s="139"/>
      <c r="O997" s="72"/>
    </row>
    <row r="998">
      <c r="B998" s="139"/>
      <c r="O998" s="72"/>
    </row>
    <row r="999">
      <c r="B999" s="139"/>
      <c r="O999" s="72"/>
    </row>
    <row r="1000">
      <c r="B1000" s="139"/>
      <c r="O1000" s="72"/>
    </row>
    <row r="1001">
      <c r="B1001" s="139"/>
      <c r="O1001" s="72"/>
    </row>
  </sheetData>
  <mergeCells count="7">
    <mergeCell ref="A1:G1"/>
    <mergeCell ref="C2:F2"/>
    <mergeCell ref="G2:J2"/>
    <mergeCell ref="K2:N2"/>
    <mergeCell ref="O2:O4"/>
    <mergeCell ref="A3:A4"/>
    <mergeCell ref="B3:B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13"/>
  </cols>
  <sheetData>
    <row r="1">
      <c r="A1" s="140" t="s">
        <v>136</v>
      </c>
    </row>
    <row r="2">
      <c r="A2" s="73"/>
      <c r="B2" s="74"/>
      <c r="C2" s="73"/>
      <c r="D2" s="73"/>
      <c r="E2" s="73"/>
    </row>
    <row r="3">
      <c r="A3" s="79" t="s">
        <v>64</v>
      </c>
      <c r="B3" s="141" t="s">
        <v>137</v>
      </c>
      <c r="C3" s="141" t="s">
        <v>138</v>
      </c>
      <c r="D3" s="141" t="s">
        <v>139</v>
      </c>
      <c r="E3" s="142" t="s">
        <v>56</v>
      </c>
    </row>
    <row r="4">
      <c r="A4" s="85"/>
      <c r="B4" s="38"/>
      <c r="C4" s="38"/>
      <c r="D4" s="38"/>
      <c r="E4" s="85"/>
    </row>
    <row r="5">
      <c r="A5" s="91" t="s">
        <v>72</v>
      </c>
      <c r="B5" s="100"/>
      <c r="C5" s="100"/>
      <c r="D5" s="100"/>
      <c r="E5" s="143">
        <f t="shared" ref="E5:E30" si="1">SUM((B5*0.3)+(C5*0.4)+(D5*0.3))</f>
        <v>0</v>
      </c>
    </row>
    <row r="6">
      <c r="A6" s="91" t="s">
        <v>74</v>
      </c>
      <c r="B6" s="100"/>
      <c r="C6" s="100"/>
      <c r="D6" s="100"/>
      <c r="E6" s="143">
        <f t="shared" si="1"/>
        <v>0</v>
      </c>
    </row>
    <row r="7">
      <c r="A7" s="91" t="s">
        <v>76</v>
      </c>
      <c r="B7" s="100"/>
      <c r="C7" s="100"/>
      <c r="D7" s="100"/>
      <c r="E7" s="143">
        <f t="shared" si="1"/>
        <v>0</v>
      </c>
    </row>
    <row r="8">
      <c r="A8" s="91" t="s">
        <v>78</v>
      </c>
      <c r="B8" s="100"/>
      <c r="C8" s="100"/>
      <c r="D8" s="100"/>
      <c r="E8" s="143">
        <f t="shared" si="1"/>
        <v>0</v>
      </c>
    </row>
    <row r="9">
      <c r="A9" s="91" t="s">
        <v>80</v>
      </c>
      <c r="B9" s="100"/>
      <c r="C9" s="100"/>
      <c r="D9" s="100"/>
      <c r="E9" s="143">
        <f t="shared" si="1"/>
        <v>0</v>
      </c>
    </row>
    <row r="10">
      <c r="A10" s="91" t="s">
        <v>82</v>
      </c>
      <c r="B10" s="100"/>
      <c r="C10" s="100"/>
      <c r="D10" s="100"/>
      <c r="E10" s="143">
        <f t="shared" si="1"/>
        <v>0</v>
      </c>
    </row>
    <row r="11">
      <c r="A11" s="91" t="s">
        <v>84</v>
      </c>
      <c r="B11" s="100"/>
      <c r="C11" s="100"/>
      <c r="D11" s="100"/>
      <c r="E11" s="143">
        <f t="shared" si="1"/>
        <v>0</v>
      </c>
    </row>
    <row r="12">
      <c r="A12" s="91" t="s">
        <v>86</v>
      </c>
      <c r="B12" s="100"/>
      <c r="C12" s="100"/>
      <c r="D12" s="100"/>
      <c r="E12" s="143">
        <f t="shared" si="1"/>
        <v>0</v>
      </c>
    </row>
    <row r="13">
      <c r="A13" s="91" t="s">
        <v>88</v>
      </c>
      <c r="B13" s="100"/>
      <c r="C13" s="100"/>
      <c r="D13" s="100"/>
      <c r="E13" s="143">
        <f t="shared" si="1"/>
        <v>0</v>
      </c>
    </row>
    <row r="14">
      <c r="A14" s="109" t="s">
        <v>93</v>
      </c>
      <c r="B14" s="144"/>
      <c r="C14" s="144"/>
      <c r="D14" s="144"/>
      <c r="E14" s="143">
        <f t="shared" si="1"/>
        <v>0</v>
      </c>
    </row>
    <row r="15">
      <c r="A15" s="109" t="s">
        <v>95</v>
      </c>
      <c r="B15" s="145"/>
      <c r="C15" s="145"/>
      <c r="D15" s="145"/>
      <c r="E15" s="143">
        <f t="shared" si="1"/>
        <v>0</v>
      </c>
    </row>
    <row r="16">
      <c r="A16" s="109" t="s">
        <v>99</v>
      </c>
      <c r="B16" s="146"/>
      <c r="C16" s="146"/>
      <c r="D16" s="146"/>
      <c r="E16" s="143">
        <f t="shared" si="1"/>
        <v>0</v>
      </c>
    </row>
    <row r="17">
      <c r="A17" s="109" t="s">
        <v>101</v>
      </c>
      <c r="B17" s="147"/>
      <c r="C17" s="147"/>
      <c r="D17" s="147"/>
      <c r="E17" s="143">
        <f t="shared" si="1"/>
        <v>0</v>
      </c>
    </row>
    <row r="18">
      <c r="A18" s="109" t="s">
        <v>103</v>
      </c>
      <c r="B18" s="100"/>
      <c r="C18" s="100"/>
      <c r="D18" s="100"/>
      <c r="E18" s="143">
        <f t="shared" si="1"/>
        <v>0</v>
      </c>
    </row>
    <row r="19">
      <c r="A19" s="109" t="s">
        <v>105</v>
      </c>
      <c r="B19" s="100"/>
      <c r="C19" s="100"/>
      <c r="D19" s="100"/>
      <c r="E19" s="143">
        <f t="shared" si="1"/>
        <v>0</v>
      </c>
    </row>
    <row r="20">
      <c r="A20" s="127" t="s">
        <v>109</v>
      </c>
      <c r="B20" s="100"/>
      <c r="C20" s="100"/>
      <c r="D20" s="100"/>
      <c r="E20" s="143">
        <f t="shared" si="1"/>
        <v>0</v>
      </c>
    </row>
    <row r="21">
      <c r="A21" s="127" t="s">
        <v>111</v>
      </c>
      <c r="B21" s="100"/>
      <c r="C21" s="100"/>
      <c r="D21" s="100"/>
      <c r="E21" s="143">
        <f t="shared" si="1"/>
        <v>0</v>
      </c>
    </row>
    <row r="22">
      <c r="A22" s="127" t="s">
        <v>115</v>
      </c>
      <c r="B22" s="100"/>
      <c r="C22" s="100"/>
      <c r="D22" s="100"/>
      <c r="E22" s="143">
        <f t="shared" si="1"/>
        <v>0</v>
      </c>
    </row>
    <row r="23">
      <c r="A23" s="127" t="s">
        <v>119</v>
      </c>
      <c r="B23" s="111"/>
      <c r="C23" s="111"/>
      <c r="D23" s="111"/>
      <c r="E23" s="143">
        <f t="shared" si="1"/>
        <v>0</v>
      </c>
    </row>
    <row r="24">
      <c r="A24" s="148" t="s">
        <v>121</v>
      </c>
      <c r="B24" s="111"/>
      <c r="C24" s="111"/>
      <c r="D24" s="111"/>
      <c r="E24" s="143">
        <f t="shared" si="1"/>
        <v>0</v>
      </c>
    </row>
    <row r="25">
      <c r="A25" s="148" t="s">
        <v>125</v>
      </c>
      <c r="B25" s="100"/>
      <c r="C25" s="100"/>
      <c r="D25" s="100"/>
      <c r="E25" s="143">
        <f t="shared" si="1"/>
        <v>0</v>
      </c>
    </row>
    <row r="26">
      <c r="A26" s="148" t="s">
        <v>127</v>
      </c>
      <c r="B26" s="144"/>
      <c r="C26" s="144"/>
      <c r="D26" s="144"/>
      <c r="E26" s="143">
        <f t="shared" si="1"/>
        <v>0</v>
      </c>
    </row>
    <row r="27">
      <c r="A27" s="148" t="s">
        <v>129</v>
      </c>
      <c r="B27" s="144"/>
      <c r="C27" s="144"/>
      <c r="D27" s="144"/>
      <c r="E27" s="143">
        <f t="shared" si="1"/>
        <v>0</v>
      </c>
    </row>
    <row r="28">
      <c r="A28" s="148" t="s">
        <v>131</v>
      </c>
      <c r="B28" s="144"/>
      <c r="C28" s="144"/>
      <c r="D28" s="144"/>
      <c r="E28" s="143">
        <f t="shared" si="1"/>
        <v>0</v>
      </c>
    </row>
    <row r="29">
      <c r="A29" s="148" t="s">
        <v>133</v>
      </c>
      <c r="B29" s="144"/>
      <c r="C29" s="144"/>
      <c r="D29" s="144"/>
      <c r="E29" s="143">
        <f t="shared" si="1"/>
        <v>0</v>
      </c>
    </row>
    <row r="30">
      <c r="A30" s="148" t="s">
        <v>135</v>
      </c>
      <c r="B30" s="148"/>
      <c r="C30" s="148"/>
      <c r="D30" s="148"/>
      <c r="E30" s="143">
        <f t="shared" si="1"/>
        <v>0</v>
      </c>
    </row>
  </sheetData>
  <mergeCells count="6">
    <mergeCell ref="A1:E1"/>
    <mergeCell ref="A3:A4"/>
    <mergeCell ref="B3:B4"/>
    <mergeCell ref="C3:C4"/>
    <mergeCell ref="D3:D4"/>
    <mergeCell ref="E3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6" max="6" width="12.25"/>
    <col customWidth="1" min="7" max="7" width="11.0"/>
    <col customWidth="1" min="9" max="9" width="19.13"/>
    <col customWidth="1" min="13" max="13" width="28.25"/>
    <col customWidth="1" min="14" max="14" width="15.88"/>
    <col customWidth="1" min="16" max="16" width="19.63"/>
  </cols>
  <sheetData>
    <row r="1">
      <c r="A1" s="79" t="s">
        <v>64</v>
      </c>
      <c r="B1" s="149" t="s">
        <v>140</v>
      </c>
      <c r="C1" s="30"/>
      <c r="D1" s="149" t="s">
        <v>141</v>
      </c>
      <c r="E1" s="30"/>
      <c r="F1" s="149" t="s">
        <v>142</v>
      </c>
      <c r="G1" s="30"/>
      <c r="H1" s="142" t="s">
        <v>56</v>
      </c>
      <c r="I1" s="150" t="s">
        <v>143</v>
      </c>
    </row>
    <row r="2">
      <c r="A2" s="85"/>
      <c r="B2" s="151" t="s">
        <v>144</v>
      </c>
      <c r="C2" s="151" t="s">
        <v>145</v>
      </c>
      <c r="D2" s="151" t="s">
        <v>144</v>
      </c>
      <c r="E2" s="151" t="s">
        <v>146</v>
      </c>
      <c r="F2" s="151" t="s">
        <v>147</v>
      </c>
      <c r="G2" s="151" t="s">
        <v>148</v>
      </c>
      <c r="H2" s="85"/>
    </row>
    <row r="3">
      <c r="A3" s="152"/>
      <c r="B3" s="153"/>
      <c r="C3" s="154"/>
      <c r="D3" s="153"/>
      <c r="E3" s="154"/>
      <c r="F3" s="153"/>
      <c r="G3" s="154"/>
      <c r="H3" s="155"/>
    </row>
    <row r="4">
      <c r="A4" s="152"/>
      <c r="B4" s="153"/>
      <c r="C4" s="154"/>
      <c r="D4" s="153"/>
      <c r="E4" s="154"/>
      <c r="F4" s="153"/>
      <c r="G4" s="154"/>
      <c r="H4" s="155"/>
    </row>
    <row r="5">
      <c r="A5" s="152"/>
      <c r="B5" s="156"/>
      <c r="C5" s="154"/>
      <c r="D5" s="156"/>
      <c r="E5" s="154"/>
      <c r="F5" s="156"/>
      <c r="G5" s="154"/>
      <c r="H5" s="155"/>
    </row>
    <row r="6">
      <c r="A6" s="152"/>
      <c r="B6" s="153"/>
      <c r="C6" s="154"/>
      <c r="D6" s="153"/>
      <c r="E6" s="154"/>
      <c r="F6" s="153"/>
      <c r="G6" s="154"/>
      <c r="H6" s="155"/>
    </row>
    <row r="7">
      <c r="A7" s="152"/>
      <c r="B7" s="153"/>
      <c r="C7" s="154"/>
      <c r="D7" s="153"/>
      <c r="E7" s="154"/>
      <c r="F7" s="153"/>
      <c r="G7" s="154"/>
      <c r="H7" s="155"/>
    </row>
    <row r="8">
      <c r="A8" s="152"/>
      <c r="B8" s="153"/>
      <c r="C8" s="154"/>
      <c r="D8" s="153"/>
      <c r="E8" s="154"/>
      <c r="F8" s="153"/>
      <c r="G8" s="154"/>
      <c r="H8" s="155"/>
    </row>
    <row r="9">
      <c r="A9" s="152"/>
      <c r="B9" s="156"/>
      <c r="C9" s="154"/>
      <c r="D9" s="156"/>
      <c r="E9" s="154"/>
      <c r="F9" s="156"/>
      <c r="G9" s="154"/>
      <c r="H9" s="155"/>
    </row>
    <row r="10">
      <c r="A10" s="152"/>
      <c r="B10" s="156"/>
      <c r="C10" s="154"/>
      <c r="D10" s="156"/>
      <c r="E10" s="154"/>
      <c r="F10" s="156"/>
      <c r="G10" s="154"/>
      <c r="H10" s="155"/>
    </row>
    <row r="11">
      <c r="A11" s="152"/>
      <c r="B11" s="153"/>
      <c r="C11" s="154"/>
      <c r="D11" s="153"/>
      <c r="E11" s="154"/>
      <c r="F11" s="153"/>
      <c r="G11" s="154"/>
      <c r="H11" s="155"/>
    </row>
    <row r="12">
      <c r="A12" s="152"/>
      <c r="B12" s="153"/>
      <c r="C12" s="154"/>
      <c r="D12" s="153"/>
      <c r="E12" s="154"/>
      <c r="F12" s="153"/>
      <c r="G12" s="154"/>
      <c r="H12" s="157"/>
    </row>
    <row r="13">
      <c r="A13" s="152"/>
      <c r="B13" s="153"/>
      <c r="C13" s="154"/>
      <c r="D13" s="153"/>
      <c r="E13" s="154"/>
      <c r="F13" s="153"/>
      <c r="G13" s="154"/>
      <c r="H13" s="157"/>
    </row>
    <row r="14">
      <c r="A14" s="152"/>
      <c r="B14" s="156"/>
      <c r="C14" s="154"/>
      <c r="D14" s="156"/>
      <c r="E14" s="154"/>
      <c r="F14" s="156"/>
      <c r="G14" s="154"/>
      <c r="H14" s="157"/>
    </row>
    <row r="15">
      <c r="H15" s="72"/>
    </row>
  </sheetData>
  <mergeCells count="5">
    <mergeCell ref="A1:A2"/>
    <mergeCell ref="B1:C1"/>
    <mergeCell ref="D1:E1"/>
    <mergeCell ref="F1:G1"/>
    <mergeCell ref="H1:H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6.38"/>
    <col customWidth="1" min="3" max="3" width="16.5"/>
    <col customWidth="1" min="4" max="4" width="23.0"/>
    <col customWidth="1" min="5" max="5" width="28.88"/>
    <col customWidth="1" min="6" max="6" width="15.13"/>
    <col customWidth="1" min="7" max="7" width="25.13"/>
    <col customWidth="1" min="8" max="8" width="26.13"/>
  </cols>
  <sheetData>
    <row r="1" ht="35.25" customHeight="1">
      <c r="A1" s="158" t="s">
        <v>149</v>
      </c>
      <c r="B1" s="158" t="s">
        <v>150</v>
      </c>
      <c r="C1" s="158" t="s">
        <v>151</v>
      </c>
      <c r="D1" s="158" t="s">
        <v>152</v>
      </c>
      <c r="E1" s="159" t="s">
        <v>153</v>
      </c>
    </row>
    <row r="2" ht="22.5" customHeight="1">
      <c r="A2" s="160" t="s">
        <v>154</v>
      </c>
      <c r="B2" s="161"/>
      <c r="C2" s="162"/>
      <c r="D2" s="161"/>
      <c r="E2" s="160"/>
      <c r="G2" s="163"/>
      <c r="H2" s="148"/>
    </row>
    <row r="3" ht="22.5" customHeight="1">
      <c r="A3" s="160" t="s">
        <v>155</v>
      </c>
      <c r="B3" s="161"/>
      <c r="C3" s="162"/>
      <c r="D3" s="161"/>
      <c r="E3" s="160"/>
      <c r="G3" s="163"/>
      <c r="H3" s="148"/>
    </row>
    <row r="4" ht="22.5" customHeight="1">
      <c r="A4" s="164" t="s">
        <v>156</v>
      </c>
      <c r="B4" s="165"/>
      <c r="C4" s="166"/>
      <c r="D4" s="165"/>
      <c r="E4" s="160"/>
      <c r="G4" s="163"/>
      <c r="H4" s="163"/>
    </row>
    <row r="5" ht="22.5" customHeight="1">
      <c r="A5" s="164" t="s">
        <v>157</v>
      </c>
      <c r="B5" s="165"/>
      <c r="C5" s="167"/>
      <c r="D5" s="165"/>
      <c r="E5" s="160"/>
      <c r="G5" s="163"/>
      <c r="H5" s="163"/>
    </row>
    <row r="6" ht="22.5" customHeight="1">
      <c r="A6" s="164" t="s">
        <v>158</v>
      </c>
      <c r="B6" s="165"/>
      <c r="C6" s="167"/>
      <c r="D6" s="165"/>
      <c r="E6" s="160"/>
      <c r="G6" s="163"/>
      <c r="H6" s="163"/>
    </row>
    <row r="7" ht="22.5" customHeight="1">
      <c r="A7" s="164" t="s">
        <v>159</v>
      </c>
      <c r="B7" s="168"/>
      <c r="C7" s="169"/>
      <c r="D7" s="168"/>
      <c r="E7" s="160"/>
      <c r="G7" s="170"/>
      <c r="H7" s="148"/>
    </row>
    <row r="8" ht="22.5" customHeight="1">
      <c r="A8" s="164" t="s">
        <v>160</v>
      </c>
      <c r="B8" s="171"/>
      <c r="C8" s="172"/>
      <c r="D8" s="171"/>
      <c r="E8" s="160"/>
      <c r="G8" s="163"/>
      <c r="H8" s="148"/>
    </row>
    <row r="9" ht="22.5" customHeight="1">
      <c r="A9" s="164" t="s">
        <v>161</v>
      </c>
      <c r="B9" s="160"/>
      <c r="C9" s="173"/>
      <c r="D9" s="160"/>
      <c r="E9" s="160"/>
    </row>
    <row r="10" ht="22.5" customHeight="1">
      <c r="A10" s="164" t="s">
        <v>162</v>
      </c>
      <c r="B10" s="160"/>
      <c r="C10" s="173"/>
      <c r="D10" s="160"/>
      <c r="E10" s="160"/>
    </row>
    <row r="11" ht="22.5" customHeight="1">
      <c r="A11" s="164" t="s">
        <v>163</v>
      </c>
      <c r="B11" s="160"/>
      <c r="C11" s="173"/>
      <c r="D11" s="160"/>
      <c r="E11" s="160"/>
    </row>
    <row r="12" ht="22.5" customHeight="1">
      <c r="A12" s="164" t="s">
        <v>164</v>
      </c>
      <c r="B12" s="160"/>
      <c r="C12" s="173"/>
      <c r="D12" s="160"/>
      <c r="E12" s="160"/>
    </row>
    <row r="13" ht="22.5" customHeight="1">
      <c r="A13" s="164" t="s">
        <v>165</v>
      </c>
      <c r="B13" s="160"/>
      <c r="C13" s="173"/>
      <c r="D13" s="160"/>
      <c r="E13" s="160"/>
    </row>
    <row r="14" ht="22.5" customHeight="1">
      <c r="A14" s="164" t="s">
        <v>166</v>
      </c>
      <c r="B14" s="160"/>
      <c r="C14" s="173"/>
      <c r="D14" s="160"/>
      <c r="E14" s="160"/>
    </row>
  </sheetData>
  <dataValidations>
    <dataValidation type="custom" allowBlank="1" showDropDown="1" sqref="C2:C14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